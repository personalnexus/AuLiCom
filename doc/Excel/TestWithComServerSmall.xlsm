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317" documentId="8_{33CF2258-C136-480F-9A6F-5BEFD796AC77}" xr6:coauthVersionLast="47" xr6:coauthVersionMax="47" xr10:uidLastSave="{5F46D11A-7D75-4234-B394-D5158B0EC03A}"/>
  <bookViews>
    <workbookView xWindow="3900" yWindow="3900" windowWidth="28800" windowHeight="15435" activeTab="5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LevelAndColorSuggestions">OFFSET(Overview!$C$2,0,0,COUNTA(Overview!$C:$C)-1)</definedName>
    <definedName name="ChannelLevels">OFFSET(Overview!$D$2,0,0,COUNTA(Overview!$D:$D)-1)</definedName>
    <definedName name="ChannelManualMode">Channels!$I$1</definedName>
    <definedName name="ChannelMaster">Channels!$H$1</definedName>
    <definedName name="ChannelsVersion">Overview!$A$6</definedName>
    <definedName name="ChaserKinds">OFFSET(Overview!$F$2,0,0,COUNTA(Overview!$F:$F)-1)</definedName>
    <definedName name="ColorNames">OFFSET(Overview!$E$2,0,0,COUNTA(Overview!$E:$E)-1)</definedName>
    <definedName name="DmxVersion">Overview!$A$3</definedName>
    <definedName name="FixturesVersion">Overview!$A$4</definedName>
    <definedName name="FixtureTypes">OFFSET(Overview!$G$2,0,0,COUNTA(Overview!$G:$G)-1)</definedName>
    <definedName name="SceneNames">OFFSET(Overview!$H$2,0,0,COUNTA(Overview!$H:$H)-1)</definedName>
    <definedName name="ScenesVersion">Overview!$A$5</definedName>
    <definedName name="SelectedPort">Overview!$A$2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2" l="1" a="1"/>
  <c r="Q1" i="2" s="1"/>
  <c r="P1" i="2" a="1"/>
  <c r="P1" i="2" s="1"/>
  <c r="O1" i="2" a="1"/>
  <c r="O1" i="2" s="1"/>
  <c r="N1" i="2" a="1"/>
  <c r="N1" i="2" s="1"/>
  <c r="H1" i="9" a="1"/>
  <c r="H1" i="9" s="1"/>
  <c r="H8" i="9" s="1" a="1"/>
  <c r="H8" i="9" s="1"/>
  <c r="G2" i="1" a="1"/>
  <c r="D1" i="9" a="1"/>
  <c r="B1" i="9" a="1"/>
  <c r="G1" i="9" a="1"/>
  <c r="F1" i="9" a="1"/>
  <c r="F2" i="1" a="1"/>
  <c r="C1" i="9" a="1"/>
  <c r="A3" i="1" a="1"/>
  <c r="E1" i="9" a="1"/>
  <c r="A7" i="1" a="1"/>
  <c r="H2" i="1" a="1"/>
  <c r="E2" i="1" a="1"/>
  <c r="A4" i="2" a="1"/>
  <c r="A2" i="4" a="1"/>
  <c r="K1" i="2" a="1"/>
  <c r="I1" i="2" a="1"/>
  <c r="J1" i="2" a="1"/>
  <c r="L1" i="2" a="1"/>
  <c r="M1" i="2" a="1"/>
  <c r="E1" i="2" a="1"/>
  <c r="G1" i="2" a="1"/>
  <c r="F1" i="2" a="1"/>
  <c r="A2" i="4" l="1"/>
  <c r="A3" i="1"/>
  <c r="E2" i="1"/>
  <c r="C2" i="1" s="1" a="1"/>
  <c r="C2" i="1" s="1"/>
  <c r="G1" i="9"/>
  <c r="F1" i="9"/>
  <c r="E1" i="9"/>
  <c r="D1" i="9"/>
  <c r="A7" i="1"/>
  <c r="C1" i="9"/>
  <c r="B1" i="9"/>
  <c r="M1" i="2"/>
  <c r="J1" i="2"/>
  <c r="G1" i="2"/>
  <c r="L1" i="2"/>
  <c r="K1" i="2"/>
  <c r="I1" i="2"/>
  <c r="F1" i="2"/>
  <c r="E1" i="2"/>
  <c r="G2" i="1"/>
  <c r="H2" i="1"/>
  <c r="A4" i="2"/>
  <c r="F2" i="1"/>
  <c r="I11" i="1" a="1"/>
  <c r="I16" i="1" a="1"/>
  <c r="I15" i="1" a="1"/>
  <c r="I14" i="1" a="1"/>
  <c r="I12" i="1" a="1"/>
  <c r="I13" i="1" a="1"/>
  <c r="I10" i="1" a="1"/>
  <c r="I7" i="1" a="1"/>
  <c r="I3" i="1" a="1"/>
  <c r="I2" i="1" a="1"/>
  <c r="I9" i="1" a="1"/>
  <c r="I6" i="1" a="1"/>
  <c r="I5" i="1" a="1"/>
  <c r="I4" i="1" a="1"/>
  <c r="I8" i="1" a="1"/>
  <c r="I40" i="8" a="1"/>
  <c r="I47" i="8" a="1"/>
  <c r="I27" i="8" a="1"/>
  <c r="I35" i="8" a="1"/>
  <c r="I28" i="8" a="1"/>
  <c r="I29" i="8" a="1"/>
  <c r="C8" i="9" a="1"/>
  <c r="I24" i="8" a="1"/>
  <c r="I51" i="8" a="1"/>
  <c r="I30" i="8" a="1"/>
  <c r="F2" i="3" a="1"/>
  <c r="I46" i="8" a="1"/>
  <c r="E8" i="9" a="1"/>
  <c r="I18" i="8" a="1"/>
  <c r="I37" i="8" a="1"/>
  <c r="F8" i="9" a="1"/>
  <c r="I42" i="8" a="1"/>
  <c r="I41" i="8" a="1"/>
  <c r="I31" i="8" a="1"/>
  <c r="I32" i="8" a="1"/>
  <c r="B8" i="9" a="1"/>
  <c r="I38" i="8" a="1"/>
  <c r="I54" i="8" a="1"/>
  <c r="I19" i="8" a="1"/>
  <c r="I26" i="8" a="1"/>
  <c r="I23" i="8" a="1"/>
  <c r="I21" i="8" a="1"/>
  <c r="I50" i="8" a="1"/>
  <c r="I53" i="8" a="1"/>
  <c r="I34" i="8" a="1"/>
  <c r="I43" i="8" a="1"/>
  <c r="I20" i="8" a="1"/>
  <c r="I48" i="8" a="1"/>
  <c r="I25" i="8" a="1"/>
  <c r="D8" i="9" a="1"/>
  <c r="I52" i="8" a="1"/>
  <c r="I45" i="8" a="1"/>
  <c r="I39" i="8" a="1"/>
  <c r="I22" i="8" a="1"/>
  <c r="I33" i="8" a="1"/>
  <c r="I16" i="8" a="1"/>
  <c r="I44" i="8" a="1"/>
  <c r="I49" i="8" a="1"/>
  <c r="I17" i="8" a="1"/>
  <c r="I36" i="8" a="1"/>
  <c r="G8" i="9" a="1"/>
  <c r="H1" i="2" a="1"/>
  <c r="C4" i="8" a="1"/>
  <c r="I8" i="8" a="1"/>
  <c r="I12" i="8" a="1"/>
  <c r="I10" i="8" a="1"/>
  <c r="I15" i="8" a="1"/>
  <c r="I5" i="8" a="1"/>
  <c r="I14" i="8" a="1"/>
  <c r="I11" i="8" a="1"/>
  <c r="I6" i="8" a="1"/>
  <c r="I4" i="8" a="1"/>
  <c r="I9" i="8" a="1"/>
  <c r="I13" i="8" a="1"/>
  <c r="I7" i="8" a="1"/>
  <c r="H1" i="2" l="1"/>
  <c r="F2" i="3"/>
  <c r="I14" i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4" i="5" a="1"/>
  <c r="AB7" i="5" a="1"/>
  <c r="AB5" i="5" a="1"/>
  <c r="AB6" i="5" a="1"/>
  <c r="G4" i="8" a="1"/>
  <c r="AB7" i="5" l="1"/>
  <c r="AB6" i="5"/>
  <c r="G4" i="8"/>
  <c r="AB5" i="5"/>
  <c r="AB4" i="5"/>
  <c r="A12" i="1" a="1"/>
  <c r="A6" i="1" a="1"/>
  <c r="A4" i="1" a="1"/>
  <c r="A5" i="1" a="1"/>
  <c r="A12" i="1" l="1"/>
  <c r="A4" i="1"/>
  <c r="A5" i="1"/>
  <c r="A6" i="1"/>
  <c r="F8" i="3" a="1"/>
  <c r="F6" i="3" a="1"/>
  <c r="F10" i="3" a="1"/>
  <c r="F17" i="3" a="1"/>
  <c r="F29" i="3" a="1"/>
  <c r="F22" i="3" a="1"/>
  <c r="F35" i="3" a="1"/>
  <c r="F14" i="3" a="1"/>
  <c r="F23" i="3" a="1"/>
  <c r="F4" i="3" a="1"/>
  <c r="F12" i="3" a="1"/>
  <c r="F31" i="3" a="1"/>
  <c r="F3" i="3" a="1"/>
  <c r="F36" i="3" a="1"/>
  <c r="F32" i="3" a="1"/>
  <c r="F16" i="3" a="1"/>
  <c r="F33" i="3" a="1"/>
  <c r="F9" i="3" a="1"/>
  <c r="F7" i="3" a="1"/>
  <c r="F13" i="3" a="1"/>
  <c r="F37" i="3" a="1"/>
  <c r="F39" i="3" a="1"/>
  <c r="F30" i="3" a="1"/>
  <c r="F38" i="3" a="1"/>
  <c r="F19" i="3" a="1"/>
  <c r="F27" i="3" a="1"/>
  <c r="F26" i="3" a="1"/>
  <c r="F24" i="3" a="1"/>
  <c r="F11" i="3" a="1"/>
  <c r="F34" i="3" a="1"/>
  <c r="F5" i="3" a="1"/>
  <c r="F20" i="3" a="1"/>
  <c r="F21" i="3" a="1"/>
  <c r="F25" i="3" a="1"/>
  <c r="F28" i="3" a="1"/>
  <c r="F15" i="3" a="1"/>
  <c r="F18" i="3" a="1"/>
  <c r="A7" i="8" a="1"/>
  <c r="A7" i="8" l="1"/>
  <c r="F22" i="3"/>
  <c r="D22" i="3" s="1" a="1"/>
  <c r="F20" i="3"/>
  <c r="D20" i="3" s="1" a="1"/>
  <c r="F27" i="3"/>
  <c r="D27" i="3" s="1" a="1"/>
  <c r="F19" i="3"/>
  <c r="D19" i="3" s="1" a="1"/>
  <c r="F18" i="3"/>
  <c r="D18" i="3" s="1" a="1"/>
  <c r="F4" i="3"/>
  <c r="D4" i="3" s="1" a="1"/>
  <c r="F8" i="3"/>
  <c r="D8" i="3" s="1" a="1"/>
  <c r="F12" i="3"/>
  <c r="D12" i="3" s="1" a="1"/>
  <c r="F16" i="3"/>
  <c r="D16" i="3" s="1" a="1"/>
  <c r="F25" i="3"/>
  <c r="D25" i="3" s="1" a="1"/>
  <c r="F30" i="3"/>
  <c r="D30" i="3" s="1" a="1"/>
  <c r="F37" i="3"/>
  <c r="D37" i="3" s="1" a="1"/>
  <c r="F36" i="3"/>
  <c r="D36" i="3" s="1" a="1"/>
  <c r="F7" i="3"/>
  <c r="D7" i="3" s="1" a="1"/>
  <c r="F11" i="3"/>
  <c r="D11" i="3" s="1" a="1"/>
  <c r="F15" i="3"/>
  <c r="D15" i="3" s="1" a="1"/>
  <c r="F26" i="3"/>
  <c r="D26" i="3" s="1" a="1"/>
  <c r="F31" i="3"/>
  <c r="D31" i="3" s="1" a="1"/>
  <c r="F5" i="3"/>
  <c r="D5" i="3" s="1" a="1"/>
  <c r="F9" i="3"/>
  <c r="D9" i="3" s="1" a="1"/>
  <c r="F13" i="3"/>
  <c r="D13" i="3" s="1" a="1"/>
  <c r="F17" i="3"/>
  <c r="D17" i="3" s="1" a="1"/>
  <c r="F29" i="3"/>
  <c r="D29" i="3" s="1" a="1"/>
  <c r="F34" i="3"/>
  <c r="D34" i="3" s="1" a="1"/>
  <c r="F24" i="3"/>
  <c r="D24" i="3" s="1" a="1"/>
  <c r="F33" i="3"/>
  <c r="D33" i="3" s="1" a="1"/>
  <c r="F10" i="3"/>
  <c r="D10" i="3" s="1" a="1"/>
  <c r="F14" i="3"/>
  <c r="D14" i="3" s="1" a="1"/>
  <c r="F21" i="3"/>
  <c r="D21" i="3" s="1" a="1"/>
  <c r="F35" i="3"/>
  <c r="D35" i="3" s="1" a="1"/>
  <c r="F38" i="3"/>
  <c r="D38" i="3" s="1" a="1"/>
  <c r="F28" i="3"/>
  <c r="D28" i="3" s="1" a="1"/>
  <c r="F39" i="3"/>
  <c r="D39" i="3" s="1" a="1"/>
  <c r="F6" i="3"/>
  <c r="D6" i="3" s="1" a="1"/>
  <c r="F3" i="3"/>
  <c r="D3" i="3" s="1" a="1"/>
  <c r="F23" i="3"/>
  <c r="D23" i="3" s="1" a="1"/>
  <c r="F32" i="3"/>
  <c r="D32" i="3" s="1" a="1"/>
  <c r="D2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<sst xmlns="http://schemas.openxmlformats.org/spreadsheetml/2006/main" count="98" uniqueCount="73">
  <si>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</si>
  <si>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</si>
  <si>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</si>
  <si>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</si>
  <si>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</si>
  <si>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</si>
  <si>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</si>
  <si>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</si>
  <si>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</si>
  <si>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</si>
  <si>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</si>
  <si>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</si>
  <si>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</si>
  <si>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</si>
  <si>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</si>
  <si>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</si>
  <si>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</si>
  <si>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</si>
  <si>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</si>
  <si>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</si>
  <si>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</si>
  <si>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</si>
  <si>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</si>
  <si>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</si>
  <si>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</si>
  <si>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</si>
  <si>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</si>
  <si>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</si>
  <si>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</si>
  <si>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</si>
  <si>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</si>
  <si>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</si>
  <si>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</si>
  <si>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</si>
  <si>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</si>
  <si>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</si>
  <si>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End Channel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</si>
  <si>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</si>
  <si>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</si>
  <si>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</si>
  <si>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</si>
  <si>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</si>
  <si>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</si>
  <si>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</si>
  <si>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</si>
  <si>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</si>
  <si>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</si>
  <si>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</si>
  <si>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</si>
  <si>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</si>
  <si>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</si>
  <si>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</si>
  <si>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</si>
  <si>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</si>
  <si>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</si>
  <si>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</si>
  <si>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</si>
  <si>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</si>
  <si>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</si>
  <si>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</si>
  <si>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</si>
  <si>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</si>
  <si>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</si>
  <si>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</si>
  <si>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</si>
  <si>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</si>
  <si>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</si>
  <si>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</si>
  <si>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</si>
  <si>
    <t>Bar</t>
  </si>
  <si>
    <t>CameoLedBar_12Ch</t>
  </si>
  <si>
    <t>COM4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</si>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</sst>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f1aa64650a7a48aa97f364abaf09be0c">
      <tp>
        <v>1116</v>
        <stp/>
        <stp>c7510197-651c-4b5c-8beb-31c2ce067931</stp>
        <tr r="G4" s="8"/>
      </tp>
    </main>
    <main first="rtdsrv_f1aa64650a7a48aa97f364abaf09be0c">
      <tp>
        <v>7</v>
        <stp/>
        <stp>f37722f8-0622-4657-9df1-a961714ae5db</stp>
        <tr r="I10" s="1"/>
      </tp>
    </main>
    <main first="rtdsrv_f1aa64650a7a48aa97f364abaf09be0c">
      <tp>
        <v>7</v>
        <stp/>
        <stp>a48914ba-7076-44ac-9588-7d0e84d62cb2</stp>
        <tr r="I9" s="1"/>
      </tp>
    </main>
    <main first="rtdsrv_f1aa64650a7a48aa97f364abaf09be0c">
      <tp>
        <v>7</v>
        <stp/>
        <stp>9d841014-c0dc-4817-ae6d-a14b82c84db2</stp>
        <tr r="I4" s="1"/>
      </tp>
      <tp>
        <v>7</v>
        <stp/>
        <stp>f28e12fb-ca7b-4b61-9b0c-310f850d260d</stp>
        <tr r="I3" s="1"/>
      </tp>
      <tp>
        <v>7</v>
        <stp/>
        <stp>2b4e120f-ee73-4b88-9c2f-6b27a7c2099c</stp>
        <tr r="I5" s="1"/>
      </tp>
    </main>
    <main first="rtdsrv_f1aa64650a7a48aa97f364abaf09be0c">
      <tp>
        <v>7</v>
        <stp/>
        <stp>9a3e9c92-1764-42cb-8fdb-f4fe9ea940a7</stp>
        <tr r="I8" s="1"/>
      </tp>
      <tp>
        <v>7</v>
        <stp/>
        <stp>d944800f-8f6b-44be-96b0-decbe13726b3</stp>
        <tr r="I2" s="1"/>
      </tp>
    </main>
    <main first="rtdsrv_f1aa64650a7a48aa97f364abaf09be0c">
      <tp>
        <v>3</v>
        <stp/>
        <stp>6fdd51b6-b964-4457-9e9b-542799fc3a52</stp>
        <tr r="G4" s="8"/>
        <tr r="H1" s="2"/>
        <tr r="H1" s="2"/>
        <tr r="F1" s="2"/>
        <tr r="F1" s="2"/>
        <tr r="G1" s="2"/>
        <tr r="G1" s="2"/>
        <tr r="E1" s="2"/>
        <tr r="E1" s="2"/>
        <tr r="M1" s="2"/>
        <tr r="M1" s="2"/>
        <tr r="L1" s="2"/>
        <tr r="L1" s="2"/>
        <tr r="J1" s="2"/>
        <tr r="J1" s="2"/>
        <tr r="I1" s="2"/>
        <tr r="I1" s="2"/>
        <tr r="K1" s="2"/>
        <tr r="K1" s="2"/>
      </tp>
    </main>
    <main first="rtdsrv_f1aa64650a7a48aa97f364abaf09be0c">
      <tp>
        <v>3</v>
        <stp/>
        <stp>d84db021-a82f-4584-8d52-f60f57e5ad20</stp>
        <tr r="C4" s="8"/>
        <tr r="A4" s="2"/>
      </tp>
      <tp>
        <v>7</v>
        <stp/>
        <stp>995a8a3c-9418-4caa-a2de-57648939de12</stp>
        <tr r="I7" s="1"/>
      </tp>
      <tp>
        <v>7</v>
        <stp/>
        <stp>0dc70aa0-8bf5-4862-8950-6945ca119c2a</stp>
        <tr r="E2" s="1"/>
      </tp>
      <tp>
        <v>1167</v>
        <stp/>
        <stp>28e63132-026f-42b8-b7ab-af5f54b502d9</stp>
        <tr r="A6" s="1"/>
      </tp>
      <tp>
        <v>7</v>
        <stp/>
        <stp>9c63f2b9-11ae-4385-9a4f-e6729af2869a</stp>
        <tr r="A7" s="1"/>
      </tp>
    </main>
    <main first="rtdsrv_f1aa64650a7a48aa97f364abaf09be0c">
      <tp>
        <v>3</v>
        <stp/>
        <stp>1e28d025-0f9e-423a-8132-f2fbc30084e0</stp>
        <tr r="A4" s="1"/>
      </tp>
    </main>
    <main first="rtdsrv_f1aa64650a7a48aa97f364abaf09be0c">
      <tp>
        <v>20</v>
        <stp/>
        <stp>b86df88a-5838-4f8d-aa92-18388c04341c</stp>
        <tr r="A2" s="4"/>
        <tr r="H2" s="1"/>
      </tp>
    </main>
    <main first="rtdsrv_f1aa64650a7a48aa97f364abaf09be0c">
      <tp>
        <v>20</v>
        <stp/>
        <stp>be3847a0-48ef-40d6-985a-32d2b6686fbb</stp>
        <tr r="A5" s="1"/>
      </tp>
    </main>
    <main first="rtdsrv_f1aa64650a7a48aa97f364abaf09be0c">
      <tp>
        <v>7</v>
        <stp/>
        <stp>0749bc75-36c0-4027-b1bf-4cdc8d6833f9</stp>
        <tr r="I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workbookViewId="0">
      <selection activeCell="A3" sqref="A3"/>
    </sheetView>
  </sheetViews>
  <sheetFormatPr defaultRowHeight="15" x14ac:dyDescent="0.25"/>
  <cols>
    <col min="1" max="1" width="21.7109375" customWidth="1"/>
    <col min="3" max="3" width="39.85546875" style="23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10" customWidth="1"/>
  </cols>
  <sheetData>
    <row r="1" spans="1:15" x14ac:dyDescent="0.25">
      <c r="A1" s="1" t="s">
        <v>44</v>
      </c>
      <c r="B1" s="1"/>
      <c r="C1" s="11" t="s">
        <v>59</v>
      </c>
      <c r="D1" s="1" t="s">
        <v>58</v>
      </c>
      <c r="E1" s="1" t="s">
        <v>57</v>
      </c>
      <c r="F1" s="11" t="s">
        <v>42</v>
      </c>
      <c r="G1" s="1" t="s">
        <v>43</v>
      </c>
      <c r="H1" s="1" t="s">
        <v>46</v>
      </c>
    </row>
    <row r="2" spans="1:15" x14ac:dyDescent="0.25">
      <c r="A2" s="2" t="s">
        <v>71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8">_xlfn._xlws.SORT(_xll.AuLiComGetFixtureTypes())</f>
        <v>AriaPc</v>
      </c>
      <c r="H2" t="str" cm="1">
        <f t="array" ref="H2:H10">_xlfn._xlws.SORT(_xll.AuLiComGetScenes())</f>
        <v>Blue1</v>
      </c>
      <c r="I2" t="str" cm="1">
        <f t="array" ref="I2">IF(H2="","",_xll.AuLiComGetSceneChannelPercentages(H2))</f>
        <v>45@100</v>
      </c>
    </row>
    <row r="3" spans="1:15" x14ac:dyDescent="0.25">
      <c r="A3" s="3" t="str" cm="1">
        <f t="array" ref="A3">_xll.AuLiComSetDmxConnection(SelectedPort)</f>
        <v>DMX:COM4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str" cm="1">
        <f t="array" ref="I3">IF(H3="","",_xll.AuLiComGetSceneChannelPercentages(H3))</f>
        <v>48@100</v>
      </c>
      <c r="O3" s="1"/>
    </row>
    <row r="4" spans="1:15" x14ac:dyDescent="0.25">
      <c r="A4" s="3" t="str" cm="1">
        <f t="array" ref="A4">"FIXTURES:"&amp;_xll.AuLiComGetFixturesVersion()</f>
        <v>FIXTURES:2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str" cm="1">
        <f t="array" ref="I4">IF(H4="","",_xll.AuLiComGetSceneChannelPercentages(H4))</f>
        <v>51@100</v>
      </c>
    </row>
    <row r="5" spans="1:15" x14ac:dyDescent="0.25">
      <c r="A5" s="3" t="str" cm="1">
        <f t="array" ref="A5">"SCENES:"&amp;_xll.AuLiComGetScenesVersion()</f>
        <v>SCENES:19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Green1</v>
      </c>
      <c r="I5" t="str" cm="1">
        <f t="array" ref="I5">IF(H5="","",_xll.AuLiComGetSceneChannelPercentages(H5))</f>
        <v>44@100</v>
      </c>
    </row>
    <row r="6" spans="1:15" x14ac:dyDescent="0.25">
      <c r="A6" s="3" t="str" cm="1">
        <f t="array" ref="A6">"CHANNELS:"&amp;_xll.AuLiComGetChannelsVersion()</f>
        <v>CHANNELS:1177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Green2</v>
      </c>
      <c r="I6" t="str" cm="1">
        <f t="array" ref="I6">IF(H6="","",_xll.AuLiComGetSceneChannelPercentages(H6))</f>
        <v>47@100</v>
      </c>
    </row>
    <row r="7" spans="1:15" x14ac:dyDescent="0.25">
      <c r="A7" s="3" t="str" cm="1">
        <f t="array" ref="A7">"COLORS:"&amp;_xll.AuLiComGetColorsVersion(Dmx)</f>
        <v>COLORS:6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Green3</v>
      </c>
      <c r="I7" t="str" cm="1">
        <f t="array" ref="I7">IF(H7="","",_xll.AuLiComGetSceneChannelPercentages(H7))</f>
        <v>50@100</v>
      </c>
    </row>
    <row r="8" spans="1:15" x14ac:dyDescent="0.25">
      <c r="C8" s="23">
        <f ca="1"/>
        <v>60</v>
      </c>
      <c r="D8">
        <v>60</v>
      </c>
      <c r="G8" t="str">
        <v>CantataPc</v>
      </c>
      <c r="H8" t="str">
        <v>Red1</v>
      </c>
      <c r="I8" t="str" cm="1">
        <f t="array" ref="I8">IF(H8="","",_xll.AuLiComGetSceneChannelPercentages(H8))</f>
        <v>43@100</v>
      </c>
    </row>
    <row r="9" spans="1:15" x14ac:dyDescent="0.25">
      <c r="C9" s="23">
        <f ca="1"/>
        <v>70</v>
      </c>
      <c r="D9">
        <v>70</v>
      </c>
      <c r="G9" t="str">
        <v>CantataProfiler</v>
      </c>
      <c r="H9" t="str">
        <v>Red2</v>
      </c>
      <c r="I9" t="str" cm="1">
        <f t="array" ref="I9">IF(H9="","",_xll.AuLiComGetSceneChannelPercentages(H9))</f>
        <v>46@100</v>
      </c>
    </row>
    <row r="10" spans="1:15" x14ac:dyDescent="0.2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Red3</v>
      </c>
      <c r="I10" t="str" cm="1">
        <f t="array" ref="I10">IF(H10="","",_xll.AuLiComGetSceneChannelPercentages(H10))</f>
        <v>49@100</v>
      </c>
    </row>
    <row r="11" spans="1:15" x14ac:dyDescent="0.25">
      <c r="A11" s="3" t="s">
        <v>18</v>
      </c>
      <c r="C11" s="23">
        <f ca="1"/>
        <v>90</v>
      </c>
      <c r="D11">
        <v>90</v>
      </c>
      <c r="G11" t="str">
        <v>ElationKlParFc_11Ch</v>
      </c>
      <c r="I11" t="str" cm="1">
        <f t="array" ref="I11">IF(H11="","",_xll.AuLiComGetSceneChannelPercentages(H11))</f>
        <v/>
      </c>
    </row>
    <row r="12" spans="1:15" x14ac:dyDescent="0.2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ElationKlProfileFc_10Ch</v>
      </c>
      <c r="I12" t="str" cm="1">
        <f t="array" ref="I12">IF(H12="","",_xll.AuLiComGetSceneChannelPercentages(H12))</f>
        <v/>
      </c>
    </row>
    <row r="13" spans="1:15" x14ac:dyDescent="0.25">
      <c r="C13" s="23" t="str">
        <f ca="1"/>
        <v>Dark Blue</v>
      </c>
      <c r="G13" t="str">
        <v>GenericLamp</v>
      </c>
      <c r="I13" t="str" cm="1">
        <f t="array" ref="I13">IF(H13="","",_xll.AuLiComGetSceneChannelPercentages(H13))</f>
        <v/>
      </c>
    </row>
    <row r="14" spans="1:15" x14ac:dyDescent="0.25">
      <c r="C14" s="23" t="str">
        <f ca="1"/>
        <v>Green</v>
      </c>
      <c r="G14" t="str">
        <v>OtherPc</v>
      </c>
      <c r="I14" t="str" cm="1">
        <f t="array" ref="I14">IF(H14="","",_xll.AuLiComGetSceneChannelPercentages(H14))</f>
        <v/>
      </c>
    </row>
    <row r="15" spans="1:15" x14ac:dyDescent="0.25">
      <c r="C15" s="23" t="str">
        <f ca="1"/>
        <v>Light Blue</v>
      </c>
      <c r="G15" t="str">
        <v>Par56Silver</v>
      </c>
      <c r="I15" t="str" cm="1">
        <f t="array" ref="I15">IF(H15="","",_xll.AuLiComGetSceneChannelPercentages(H15))</f>
        <v/>
      </c>
    </row>
    <row r="16" spans="1:15" x14ac:dyDescent="0.25">
      <c r="A16" s="3"/>
      <c r="C16" s="23" t="str">
        <f ca="1"/>
        <v>Orange</v>
      </c>
      <c r="G16" t="str">
        <v>Par64</v>
      </c>
      <c r="I16" t="str" cm="1">
        <f t="array" ref="I16">IF(H16="","",_xll.AuLiComGetSceneChannelPercentages(H16))</f>
        <v/>
      </c>
    </row>
    <row r="17" spans="1:7" x14ac:dyDescent="0.25">
      <c r="A17" s="4"/>
      <c r="C17" s="23" t="str">
        <f ca="1"/>
        <v>Pink</v>
      </c>
      <c r="G17" t="str">
        <v>Profiler</v>
      </c>
    </row>
    <row r="18" spans="1:7" x14ac:dyDescent="0.25">
      <c r="C18" s="23" t="str">
        <f ca="1"/>
        <v>Red</v>
      </c>
      <c r="G18" t="str">
        <v>Quartz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2" sqref="B2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11</v>
      </c>
      <c r="C1" s="1" t="s">
        <v>12</v>
      </c>
      <c r="D1" s="1" t="s">
        <v>13</v>
      </c>
      <c r="E1" s="1" t="s">
        <v>36</v>
      </c>
      <c r="F1" s="1"/>
      <c r="J1" s="1"/>
    </row>
    <row r="2" spans="1:10" x14ac:dyDescent="0.25">
      <c r="A2" s="2" t="s">
        <v>69</v>
      </c>
      <c r="B2" s="2" t="s">
        <v>70</v>
      </c>
      <c r="C2" s="2">
        <v>40</v>
      </c>
      <c r="D2" cm="1">
        <f t="array" ref="D2">IF(F2&lt;&gt;"",_xll.AuLiComGetFixtureChannelCount(A2),"")</f>
        <v>12</v>
      </c>
      <c r="E2">
        <f>C2+D2-1</f>
        <v>51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/>
      <c r="B3" s="2"/>
      <c r="C3" s="2"/>
      <c r="D3" t="str" cm="1">
        <f t="array" ref="D3">IF(F3&lt;&gt;"",_xll.AuLiComGetFixtureChannelCount(A3),"")</f>
        <v/>
      </c>
      <c r="E3" t="e">
        <f t="shared" ref="E3:E39" si="0">C3+D3-1</f>
        <v>#VALUE!</v>
      </c>
      <c r="F3" s="3" t="str" cm="1">
        <f t="array" ref="F3">IF(AND(A3&lt;&gt;"",B3&lt;&gt;"",C3&lt;&gt;""),_xll.AuLiComSetFixture(DmxVersion,A3,B3,C3),"")</f>
        <v/>
      </c>
    </row>
    <row r="4" spans="1:10" x14ac:dyDescent="0.25">
      <c r="A4" s="2"/>
      <c r="B4" s="2"/>
      <c r="C4" s="2"/>
      <c r="D4" t="str" cm="1">
        <f t="array" ref="D4">IF(F4&lt;&gt;"",_xll.AuLiComGetFixtureChannelCount(A4),"")</f>
        <v/>
      </c>
      <c r="E4" t="e">
        <f t="shared" si="0"/>
        <v>#VALUE!</v>
      </c>
      <c r="F4" s="3" t="str" cm="1">
        <f t="array" ref="F4">IF(AND(A4&lt;&gt;"",B4&lt;&gt;"",C4&lt;&gt;""),_xll.AuLiComSetFixture(DmxVersion,A4,B4,C4),"")</f>
        <v/>
      </c>
    </row>
    <row r="5" spans="1:10" x14ac:dyDescent="0.25">
      <c r="A5" s="2"/>
      <c r="B5" s="2"/>
      <c r="C5" s="2"/>
      <c r="D5" t="str" cm="1">
        <f t="array" ref="D5">IF(F5&lt;&gt;"",_xll.AuLiComGetFixtureChannelCount(A5),"")</f>
        <v/>
      </c>
      <c r="E5" t="e">
        <f t="shared" si="0"/>
        <v>#VALUE!</v>
      </c>
      <c r="F5" s="3" t="str" cm="1">
        <f t="array" ref="F5">IF(AND(A5&lt;&gt;"",B5&lt;&gt;"",C5&lt;&gt;""),_xll.AuLiComSetFixture(DmxVersion,A5,B5,C5),"")</f>
        <v/>
      </c>
    </row>
    <row r="6" spans="1:10" x14ac:dyDescent="0.25">
      <c r="A6" s="2"/>
      <c r="B6" s="2"/>
      <c r="C6" s="2"/>
      <c r="D6" t="str" cm="1">
        <f t="array" ref="D6">IF(F6&lt;&gt;"",_xll.AuLiComGetFixtureChannelCount(A6),"")</f>
        <v/>
      </c>
      <c r="E6" t="e">
        <f t="shared" si="0"/>
        <v>#VALUE!</v>
      </c>
      <c r="F6" s="3" t="str" cm="1">
        <f t="array" ref="F6">IF(AND(A6&lt;&gt;"",B6&lt;&gt;"",C6&lt;&gt;""),_xll.AuLiComSetFixture(DmxVersion,A6,B6,C6),"")</f>
        <v/>
      </c>
    </row>
    <row r="7" spans="1:10" x14ac:dyDescent="0.25">
      <c r="A7" s="2"/>
      <c r="B7" s="2"/>
      <c r="C7" s="2"/>
      <c r="D7" t="str" cm="1">
        <f t="array" ref="D7">IF(F7&lt;&gt;"",_xll.AuLiComGetFixtureChannelCount(A7),"")</f>
        <v/>
      </c>
      <c r="E7" t="e">
        <f t="shared" si="0"/>
        <v>#VALUE!</v>
      </c>
      <c r="F7" s="3" t="str" cm="1">
        <f t="array" ref="F7">IF(AND(A7&lt;&gt;"",B7&lt;&gt;"",C7&lt;&gt;""),_xll.AuLiComSetFixture(DmxVersion,A7,B7,C7),"")</f>
        <v/>
      </c>
    </row>
    <row r="8" spans="1:10" x14ac:dyDescent="0.25">
      <c r="A8" s="2"/>
      <c r="B8" s="2"/>
      <c r="C8" s="2"/>
      <c r="D8" t="str" cm="1">
        <f t="array" ref="D8">IF(F8&lt;&gt;"",_xll.AuLiComGetFixtureChannelCount(A8),"")</f>
        <v/>
      </c>
      <c r="E8" t="e">
        <f t="shared" si="0"/>
        <v>#VALUE!</v>
      </c>
      <c r="F8" s="3" t="str" cm="1">
        <f t="array" ref="F8">IF(AND(A8&lt;&gt;"",B8&lt;&gt;"",C8&lt;&gt;""),_xll.AuLiComSetFixture(DmxVersion,A8,B8,C8),"")</f>
        <v/>
      </c>
    </row>
    <row r="9" spans="1:10" x14ac:dyDescent="0.25">
      <c r="A9" s="2"/>
      <c r="B9" s="2"/>
      <c r="C9" s="2"/>
      <c r="D9" t="str" cm="1">
        <f t="array" ref="D9">IF(F9&lt;&gt;"",_xll.AuLiComGetFixtureChannelCount(A9),"")</f>
        <v/>
      </c>
      <c r="E9" t="e">
        <f t="shared" si="0"/>
        <v>#VALUE!</v>
      </c>
      <c r="F9" s="3" t="str" cm="1">
        <f t="array" ref="F9">IF(AND(A9&lt;&gt;"",B9&lt;&gt;"",C9&lt;&gt;""),_xll.AuLiComSetFixture(DmxVersion,A9,B9,C9),"")</f>
        <v/>
      </c>
    </row>
    <row r="10" spans="1:10" x14ac:dyDescent="0.25">
      <c r="A10" s="2"/>
      <c r="B10" s="2"/>
      <c r="C10" s="2"/>
      <c r="D10" t="str" cm="1">
        <f t="array" ref="D10">IF(F10&lt;&gt;"",_xll.AuLiComGetFixtureChannelCount(A10),"")</f>
        <v/>
      </c>
      <c r="E10" t="e">
        <f t="shared" si="0"/>
        <v>#VALUE!</v>
      </c>
      <c r="F10" s="3" t="str" cm="1">
        <f t="array" ref="F10">IF(AND(A10&lt;&gt;"",B10&lt;&gt;"",C10&lt;&gt;""),_xll.AuLiComSetFixture(DmxVersion,A10,B10,C10),"")</f>
        <v/>
      </c>
    </row>
    <row r="11" spans="1:10" x14ac:dyDescent="0.25">
      <c r="A11" s="2"/>
      <c r="B11" s="2"/>
      <c r="C11" s="2"/>
      <c r="D11" t="str" cm="1">
        <f t="array" ref="D11">IF(F11&lt;&gt;"",_xll.AuLiComGetFixtureChannelCount(A11),"")</f>
        <v/>
      </c>
      <c r="E11" t="e">
        <f t="shared" si="0"/>
        <v>#VALUE!</v>
      </c>
      <c r="F11" s="3" t="str" cm="1">
        <f t="array" ref="F11">IF(AND(A11&lt;&gt;"",B11&lt;&gt;"",C11&lt;&gt;""),_xll.AuLiComSetFixture(DmxVersion,A11,B11,C11),"")</f>
        <v/>
      </c>
    </row>
    <row r="12" spans="1:10" x14ac:dyDescent="0.25">
      <c r="A12" s="2"/>
      <c r="B12" s="2"/>
      <c r="C12" s="2"/>
      <c r="D12" t="str" cm="1">
        <f t="array" ref="D12">IF(F12&lt;&gt;"",_xll.AuLiComGetFixtureChannelCount(A12),"")</f>
        <v/>
      </c>
      <c r="E12" t="e">
        <f t="shared" si="0"/>
        <v>#VALUE!</v>
      </c>
      <c r="F12" s="3" t="str" cm="1">
        <f t="array" ref="F12">IF(AND(A12&lt;&gt;"",B12&lt;&gt;"",C12&lt;&gt;""),_xll.AuLiComSetFixture(DmxVersion,A12,B12,C12),"")</f>
        <v/>
      </c>
    </row>
    <row r="13" spans="1:10" x14ac:dyDescent="0.25">
      <c r="A13" s="2"/>
      <c r="B13" s="2"/>
      <c r="C13" s="2"/>
      <c r="D13" t="str" cm="1">
        <f t="array" ref="D13">IF(F13&lt;&gt;"",_xll.AuLiComGetFixtureChannelCount(A13),"")</f>
        <v/>
      </c>
      <c r="E13" t="e">
        <f t="shared" si="0"/>
        <v>#VALUE!</v>
      </c>
      <c r="F13" s="3" t="str" cm="1">
        <f t="array" ref="F13">IF(AND(A13&lt;&gt;"",B13&lt;&gt;"",C13&lt;&gt;""),_xll.AuLiComSetFixture(DmxVersion,A13,B13,C13),"")</f>
        <v/>
      </c>
    </row>
    <row r="14" spans="1:10" x14ac:dyDescent="0.25">
      <c r="A14" s="2"/>
      <c r="B14" s="2"/>
      <c r="C14" s="2"/>
      <c r="D14" t="str" cm="1">
        <f t="array" ref="D14">IF(F14&lt;&gt;"",_xll.AuLiComGetFixtureChannelCount(A14),"")</f>
        <v/>
      </c>
      <c r="E14" t="e">
        <f t="shared" si="0"/>
        <v>#VALUE!</v>
      </c>
      <c r="F14" s="3" t="str" cm="1">
        <f t="array" ref="F14">IF(AND(A14&lt;&gt;"",B14&lt;&gt;"",C14&lt;&gt;""),_xll.AuLiComSetFixture(DmxVersion,A14,B14,C14),"")</f>
        <v/>
      </c>
    </row>
    <row r="15" spans="1:10" x14ac:dyDescent="0.25">
      <c r="A15" s="2"/>
      <c r="B15" s="2"/>
      <c r="C15" s="2"/>
      <c r="D15" t="str" cm="1">
        <f t="array" ref="D15">IF(F15&lt;&gt;"",_xll.AuLiComGetFixtureChannelCount(A15),"")</f>
        <v/>
      </c>
      <c r="E15" t="e">
        <f t="shared" si="0"/>
        <v>#VALUE!</v>
      </c>
      <c r="F15" s="3" t="str" cm="1">
        <f t="array" ref="F15">IF(AND(A15&lt;&gt;"",B15&lt;&gt;"",C15&lt;&gt;""),_xll.AuLiComSetFixture(DmxVersion,A15,B15,C15),"")</f>
        <v/>
      </c>
    </row>
    <row r="16" spans="1:10" x14ac:dyDescent="0.25">
      <c r="A16" s="2"/>
      <c r="B16" s="2"/>
      <c r="C16" s="2"/>
      <c r="D16" t="str" cm="1">
        <f t="array" ref="D16">IF(F16&lt;&gt;"",_xll.AuLiComGetFixtureChannelCount(A16),"")</f>
        <v/>
      </c>
      <c r="E16" t="e">
        <f t="shared" si="0"/>
        <v>#VALUE!</v>
      </c>
      <c r="F16" s="3" t="str" cm="1">
        <f t="array" ref="F16">IF(AND(A16&lt;&gt;"",B16&lt;&gt;"",C16&lt;&gt;""),_xll.AuLiComSetFixture(DmxVersion,A16,B16,C16),"")</f>
        <v/>
      </c>
    </row>
    <row r="17" spans="1:6" x14ac:dyDescent="0.25">
      <c r="A17" s="2"/>
      <c r="B17" s="2"/>
      <c r="C17" s="2"/>
      <c r="D17" t="str" cm="1">
        <f t="array" ref="D17">IF(F17&lt;&gt;"",_xll.AuLiComGetFixtureChannelCount(A17),"")</f>
        <v/>
      </c>
      <c r="E17" t="e">
        <f t="shared" si="0"/>
        <v>#VALUE!</v>
      </c>
      <c r="F17" s="3" t="str" cm="1">
        <f t="array" ref="F17">IF(AND(A17&lt;&gt;"",B17&lt;&gt;"",C17&lt;&gt;""),_xll.AuLiComSetFixture(DmxVersion,A17,B17,C17),"")</f>
        <v/>
      </c>
    </row>
    <row r="18" spans="1:6" x14ac:dyDescent="0.25">
      <c r="A18" s="2"/>
      <c r="B18" s="2"/>
      <c r="C18" s="2"/>
      <c r="D18" t="str" cm="1">
        <f t="array" ref="D18">IF(F18&lt;&gt;"",_xll.AuLiComGetFixtureChannelCount(A18),"")</f>
        <v/>
      </c>
      <c r="E18" t="e">
        <f t="shared" si="0"/>
        <v>#VALUE!</v>
      </c>
      <c r="F18" s="3" t="str" cm="1">
        <f t="array" ref="F18">IF(AND(A18&lt;&gt;"",B18&lt;&gt;"",C18&lt;&gt;""),_xll.AuLiComSetFixture(DmxVersion,A18,B18,C18),"")</f>
        <v/>
      </c>
    </row>
    <row r="19" spans="1:6" x14ac:dyDescent="0.25">
      <c r="A19" s="2"/>
      <c r="B19" s="2"/>
      <c r="C19" s="2"/>
      <c r="D19" t="str" cm="1">
        <f t="array" ref="D19">IF(F19&lt;&gt;"",_xll.AuLiComGetFixtureChannelCount(A19),"")</f>
        <v/>
      </c>
      <c r="E19" t="e">
        <f t="shared" si="0"/>
        <v>#VALUE!</v>
      </c>
      <c r="F19" s="3" t="str" cm="1">
        <f t="array" ref="F19">IF(AND(A19&lt;&gt;"",B19&lt;&gt;"",C19&lt;&gt;""),_xll.AuLiComSetFixture(DmxVersion,A19,B19,C19),"")</f>
        <v/>
      </c>
    </row>
    <row r="20" spans="1:6" x14ac:dyDescent="0.25">
      <c r="A20" s="2"/>
      <c r="B20" s="2"/>
      <c r="C20" s="2"/>
      <c r="D20" t="str" cm="1">
        <f t="array" ref="D20">IF(F20&lt;&gt;"",_xll.AuLiComGetFixtureChannelCount(A20),"")</f>
        <v/>
      </c>
      <c r="E20" t="e">
        <f t="shared" si="0"/>
        <v>#VALUE!</v>
      </c>
      <c r="F20" s="3" t="str" cm="1">
        <f t="array" ref="F20">IF(AND(A20&lt;&gt;"",B20&lt;&gt;"",C20&lt;&gt;""),_xll.AuLiComSetFixture(DmxVersion,A20,B20,C20),"")</f>
        <v/>
      </c>
    </row>
    <row r="21" spans="1:6" x14ac:dyDescent="0.25">
      <c r="A21" s="2"/>
      <c r="B21" s="2"/>
      <c r="C21" s="2"/>
      <c r="D21" t="str" cm="1">
        <f t="array" ref="D21">IF(F21&lt;&gt;"",_xll.AuLiComGetFixtureChannelCount(A21),"")</f>
        <v/>
      </c>
      <c r="E21" t="e">
        <f t="shared" si="0"/>
        <v>#VALUE!</v>
      </c>
      <c r="F21" s="3" t="str" cm="1">
        <f t="array" ref="F21">IF(AND(A21&lt;&gt;"",B21&lt;&gt;"",C21&lt;&gt;""),_xll.AuLiComSetFixture(DmxVersion,A21,B21,C21),"")</f>
        <v/>
      </c>
    </row>
    <row r="22" spans="1:6" x14ac:dyDescent="0.25">
      <c r="A22" s="2"/>
      <c r="B22" s="2"/>
      <c r="C22" s="2"/>
      <c r="D22" t="str" cm="1">
        <f t="array" ref="D22">IF(F22&lt;&gt;"",_xll.AuLiComGetFixtureChannelCount(A22),"")</f>
        <v/>
      </c>
      <c r="E22" t="e">
        <f t="shared" si="0"/>
        <v>#VALUE!</v>
      </c>
      <c r="F22" s="3" t="str" cm="1">
        <f t="array" ref="F22">IF(AND(A22&lt;&gt;"",B22&lt;&gt;"",C22&lt;&gt;""),_xll.AuLiComSetFixture(DmxVersion,A22,B22,C22),"")</f>
        <v/>
      </c>
    </row>
    <row r="23" spans="1:6" x14ac:dyDescent="0.25">
      <c r="A23" s="2"/>
      <c r="B23" s="2"/>
      <c r="C23" s="2"/>
      <c r="D23" t="str" cm="1">
        <f t="array" ref="D23">IF(F23&lt;&gt;"",_xll.AuLiComGetFixtureChannelCount(A23),"")</f>
        <v/>
      </c>
      <c r="E23" t="e">
        <f t="shared" si="0"/>
        <v>#VALUE!</v>
      </c>
      <c r="F23" s="3" t="str" cm="1">
        <f t="array" ref="F23">IF(AND(A23&lt;&gt;"",B23&lt;&gt;"",C23&lt;&gt;""),_xll.AuLiComSetFixture(DmxVersion,A23,B23,C23),"")</f>
        <v/>
      </c>
    </row>
    <row r="24" spans="1:6" x14ac:dyDescent="0.25">
      <c r="A24" s="2"/>
      <c r="B24" s="2"/>
      <c r="C24" s="2"/>
      <c r="D24" t="str" cm="1">
        <f t="array" ref="D24">IF(F24&lt;&gt;"",_xll.AuLiComGetFixtureChannelCount(A24),"")</f>
        <v/>
      </c>
      <c r="E24" t="e">
        <f t="shared" si="0"/>
        <v>#VALUE!</v>
      </c>
      <c r="F24" s="3" t="str" cm="1">
        <f t="array" ref="F24">IF(AND(A24&lt;&gt;"",B24&lt;&gt;"",C24&lt;&gt;""),_xll.AuLiComSetFixture(DmxVersion,A24,B24,C24),"")</f>
        <v/>
      </c>
    </row>
    <row r="25" spans="1:6" x14ac:dyDescent="0.25">
      <c r="A25" s="2"/>
      <c r="B25" s="2"/>
      <c r="C25" s="2"/>
      <c r="D25" t="str" cm="1">
        <f t="array" ref="D25">IF(F25&lt;&gt;"",_xll.AuLiComGetFixtureChannelCount(A25),"")</f>
        <v/>
      </c>
      <c r="E25" t="e">
        <f t="shared" si="0"/>
        <v>#VALUE!</v>
      </c>
      <c r="F25" s="3" t="str" cm="1">
        <f t="array" ref="F25">IF(AND(A25&lt;&gt;"",B25&lt;&gt;"",C25&lt;&gt;""),_xll.AuLiComSetFixture(DmxVersion,A25,B25,C25),"")</f>
        <v/>
      </c>
    </row>
    <row r="26" spans="1:6" x14ac:dyDescent="0.25">
      <c r="A26" s="2"/>
      <c r="B26" s="2"/>
      <c r="C26" s="2"/>
      <c r="D26" t="str" cm="1">
        <f t="array" ref="D26">IF(F26&lt;&gt;"",_xll.AuLiComGetFixtureChannelCount(A26),"")</f>
        <v/>
      </c>
      <c r="E26" t="e">
        <f t="shared" si="0"/>
        <v>#VALUE!</v>
      </c>
      <c r="F26" s="3" t="str" cm="1">
        <f t="array" ref="F26">IF(AND(A26&lt;&gt;"",B26&lt;&gt;"",C26&lt;&gt;""),_xll.AuLiComSetFixture(DmxVersion,A26,B26,C26),"")</f>
        <v/>
      </c>
    </row>
    <row r="27" spans="1:6" x14ac:dyDescent="0.25">
      <c r="A27" s="2"/>
      <c r="B27" s="2"/>
      <c r="C27" s="2"/>
      <c r="D27" t="str" cm="1">
        <f t="array" ref="D27">IF(F27&lt;&gt;"",_xll.AuLiComGetFixtureChannelCount(A27),"")</f>
        <v/>
      </c>
      <c r="E27" t="e">
        <f t="shared" si="0"/>
        <v>#VALUE!</v>
      </c>
      <c r="F27" s="3" t="str" cm="1">
        <f t="array" ref="F27">IF(AND(A27&lt;&gt;"",B27&lt;&gt;"",C27&lt;&gt;""),_xll.AuLiComSetFixture(DmxVersion,A27,B27,C27),"")</f>
        <v/>
      </c>
    </row>
    <row r="28" spans="1:6" x14ac:dyDescent="0.25">
      <c r="A28" s="2"/>
      <c r="B28" s="2"/>
      <c r="C28" s="2"/>
      <c r="D28" t="str" cm="1">
        <f t="array" ref="D28">IF(F28&lt;&gt;"",_xll.AuLiComGetFixtureChannelCount(A28),"")</f>
        <v/>
      </c>
      <c r="E28" t="e">
        <f t="shared" si="0"/>
        <v>#VALUE!</v>
      </c>
      <c r="F28" s="3" t="str" cm="1">
        <f t="array" ref="F28">IF(AND(A28&lt;&gt;"",B28&lt;&gt;"",C28&lt;&gt;""),_xll.AuLiComSetFixture(DmxVersion,A28,B28,C28),"")</f>
        <v/>
      </c>
    </row>
    <row r="29" spans="1:6" x14ac:dyDescent="0.25">
      <c r="A29" s="2"/>
      <c r="B29" s="2"/>
      <c r="C29" s="2"/>
      <c r="D29" t="str" cm="1">
        <f t="array" ref="D29">IF(F29&lt;&gt;"",_xll.AuLiComGetFixtureChannelCount(A29),"")</f>
        <v/>
      </c>
      <c r="E29" t="e">
        <f t="shared" si="0"/>
        <v>#VALUE!</v>
      </c>
      <c r="F29" s="3" t="str" cm="1">
        <f t="array" ref="F29">IF(AND(A29&lt;&gt;"",B29&lt;&gt;"",C29&lt;&gt;""),_xll.AuLiComSetFixture(DmxVersion,A29,B29,C29),"")</f>
        <v/>
      </c>
    </row>
    <row r="30" spans="1:6" x14ac:dyDescent="0.25">
      <c r="A30" s="2"/>
      <c r="B30" s="2"/>
      <c r="C30" s="2"/>
      <c r="D30" t="str" cm="1">
        <f t="array" ref="D30">IF(F30&lt;&gt;"",_xll.AuLiComGetFixtureChannelCount(A30),"")</f>
        <v/>
      </c>
      <c r="E30" t="e">
        <f t="shared" si="0"/>
        <v>#VALUE!</v>
      </c>
      <c r="F30" s="3" t="str" cm="1">
        <f t="array" ref="F30">IF(AND(A30&lt;&gt;"",B30&lt;&gt;"",C30&lt;&gt;""),_xll.AuLiComSetFixture(DmxVersion,A30,B30,C30),"")</f>
        <v/>
      </c>
    </row>
    <row r="31" spans="1:6" x14ac:dyDescent="0.25">
      <c r="A31" s="2"/>
      <c r="B31" s="2"/>
      <c r="C31" s="2"/>
      <c r="D31" t="str" cm="1">
        <f t="array" ref="D31">IF(F31&lt;&gt;"",_xll.AuLiComGetFixtureChannelCount(A31),"")</f>
        <v/>
      </c>
      <c r="E31" t="e">
        <f t="shared" si="0"/>
        <v>#VALUE!</v>
      </c>
      <c r="F31" s="3" t="str" cm="1">
        <f t="array" ref="F31">IF(AND(A31&lt;&gt;"",B31&lt;&gt;"",C31&lt;&gt;""),_xll.AuLiComSetFixture(DmxVersion,A31,B31,C31),"")</f>
        <v/>
      </c>
    </row>
    <row r="32" spans="1:6" x14ac:dyDescent="0.25">
      <c r="A32" s="2"/>
      <c r="B32" s="2"/>
      <c r="C32" s="2"/>
      <c r="D32" t="str" cm="1">
        <f t="array" ref="D32">IF(F32&lt;&gt;"",_xll.AuLiComGetFixtureChannelCount(A32),"")</f>
        <v/>
      </c>
      <c r="E32" t="e">
        <f t="shared" si="0"/>
        <v>#VALUE!</v>
      </c>
      <c r="F32" s="3" t="str" cm="1">
        <f t="array" ref="F32">IF(AND(A32&lt;&gt;"",B32&lt;&gt;"",C32&lt;&gt;""),_xll.AuLiComSetFixture(DmxVersion,A32,B32,C32),"")</f>
        <v/>
      </c>
    </row>
    <row r="33" spans="1:6" x14ac:dyDescent="0.25">
      <c r="A33" s="2"/>
      <c r="B33" s="2"/>
      <c r="C33" s="2"/>
      <c r="D33" t="str" cm="1">
        <f t="array" ref="D33">IF(F33&lt;&gt;"",_xll.AuLiComGetFixtureChannelCount(A33),"")</f>
        <v/>
      </c>
      <c r="E33" t="e">
        <f t="shared" si="0"/>
        <v>#VALUE!</v>
      </c>
      <c r="F33" s="3" t="str" cm="1">
        <f t="array" ref="F33">IF(AND(A33&lt;&gt;"",B33&lt;&gt;"",C33&lt;&gt;""),_xll.AuLiComSetFixture(DmxVersion,A33,B33,C33),"")</f>
        <v/>
      </c>
    </row>
    <row r="34" spans="1:6" x14ac:dyDescent="0.25">
      <c r="A34" s="2"/>
      <c r="B34" s="2"/>
      <c r="C34" s="2"/>
      <c r="D34" t="str" cm="1">
        <f t="array" ref="D34">IF(F34&lt;&gt;"",_xll.AuLiComGetFixtureChannelCount(A34),"")</f>
        <v/>
      </c>
      <c r="E34" t="e">
        <f t="shared" si="0"/>
        <v>#VALUE!</v>
      </c>
      <c r="F34" s="3" t="str" cm="1">
        <f t="array" ref="F34">IF(AND(A34&lt;&gt;"",B34&lt;&gt;"",C34&lt;&gt;""),_xll.AuLiComSetFixture(DmxVersion,A34,B34,C34),"")</f>
        <v/>
      </c>
    </row>
    <row r="35" spans="1:6" x14ac:dyDescent="0.25">
      <c r="A35" s="2"/>
      <c r="B35" s="2"/>
      <c r="C35" s="2"/>
      <c r="D35" t="str" cm="1">
        <f t="array" ref="D35">IF(F35&lt;&gt;"",_xll.AuLiComGetFixtureChannelCount(A35),"")</f>
        <v/>
      </c>
      <c r="E35" t="e">
        <f t="shared" si="0"/>
        <v>#VALUE!</v>
      </c>
      <c r="F35" s="3" t="str" cm="1">
        <f t="array" ref="F35">IF(AND(A35&lt;&gt;"",B35&lt;&gt;"",C35&lt;&gt;""),_xll.AuLiComSetFixture(DmxVersion,A35,B35,C35),"")</f>
        <v/>
      </c>
    </row>
    <row r="36" spans="1:6" x14ac:dyDescent="0.25">
      <c r="A36" s="2"/>
      <c r="B36" s="2"/>
      <c r="C36" s="2"/>
      <c r="D36" t="str" cm="1">
        <f t="array" ref="D36">IF(F36&lt;&gt;"",_xll.AuLiComGetFixtureChannelCount(A36),"")</f>
        <v/>
      </c>
      <c r="E36" t="e">
        <f t="shared" si="0"/>
        <v>#VALUE!</v>
      </c>
      <c r="F36" s="3" t="str" cm="1">
        <f t="array" ref="F36">IF(AND(A36&lt;&gt;"",B36&lt;&gt;"",C36&lt;&gt;""),_xll.AuLiComSetFixture(DmxVersion,A36,B36,C36),"")</f>
        <v/>
      </c>
    </row>
    <row r="37" spans="1:6" x14ac:dyDescent="0.25">
      <c r="A37" s="2"/>
      <c r="B37" s="2"/>
      <c r="C37" s="2"/>
      <c r="D37" t="str" cm="1">
        <f t="array" ref="D37">IF(F37&lt;&gt;"",_xll.AuLiComGetFixtureChannelCount(A37),"")</f>
        <v/>
      </c>
      <c r="E37" t="e">
        <f t="shared" si="0"/>
        <v>#VALUE!</v>
      </c>
      <c r="F37" s="3" t="str" cm="1">
        <f t="array" ref="F37">IF(AND(A37&lt;&gt;"",B37&lt;&gt;"",C37&lt;&gt;""),_xll.AuLiComSetFixture(DmxVersion,A37,B37,C37),"")</f>
        <v/>
      </c>
    </row>
    <row r="38" spans="1:6" x14ac:dyDescent="0.25">
      <c r="A38" s="2"/>
      <c r="B38" s="2"/>
      <c r="C38" s="2"/>
      <c r="D38" t="str" cm="1">
        <f t="array" ref="D38">IF(F38&lt;&gt;"",_xll.AuLiComGetFixtureChannelCount(A38),"")</f>
        <v/>
      </c>
      <c r="E38" t="e">
        <f t="shared" si="0"/>
        <v>#VALUE!</v>
      </c>
      <c r="F38" s="3" t="str" cm="1">
        <f t="array" ref="F38">IF(AND(A38&lt;&gt;"",B38&lt;&gt;"",C38&lt;&gt;""),_xll.AuLiComSetFixture(DmxVersion,A38,B38,C38),"")</f>
        <v/>
      </c>
    </row>
    <row r="39" spans="1:6" x14ac:dyDescent="0.25">
      <c r="A39" s="2"/>
      <c r="B39" s="2"/>
      <c r="C39" s="2"/>
      <c r="D39" t="str" cm="1">
        <f t="array" ref="D39">IF(F39&lt;&gt;"",_xll.AuLiComGetFixtureChannelCount(A39),"")</f>
        <v/>
      </c>
      <c r="E39" t="e">
        <f t="shared" si="0"/>
        <v>#VALUE!</v>
      </c>
      <c r="F39" s="3" t="str" cm="1">
        <f t="array" ref="F39">IF(AND(A39&lt;&gt;"",B39&lt;&gt;"",C39&lt;&gt;""),_xll.AuLiComSetFixture(DmxVersion,A39,B39,C39),"")</f>
        <v/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D32" sqref="D32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53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52</v>
      </c>
    </row>
    <row r="3" spans="1:8" x14ac:dyDescent="0.25">
      <c r="A3" t="s">
        <v>2</v>
      </c>
      <c r="B3" s="12" t="s">
        <v>50</v>
      </c>
      <c r="C3" s="12" t="s">
        <v>54</v>
      </c>
      <c r="D3" s="12" t="s">
        <v>55</v>
      </c>
      <c r="E3" s="12" t="s">
        <v>56</v>
      </c>
      <c r="F3" s="12" t="s">
        <v>48</v>
      </c>
      <c r="G3" s="12" t="s">
        <v>47</v>
      </c>
      <c r="H3" s="12"/>
    </row>
    <row r="4" spans="1:8" x14ac:dyDescent="0.25">
      <c r="A4" t="s">
        <v>47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48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25">
      <c r="A6" t="s">
        <v>49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51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Q276"/>
  <sheetViews>
    <sheetView workbookViewId="0">
      <pane ySplit="3" topLeftCell="A4" activePane="bottomLeft" state="frozen"/>
      <selection pane="bottomLeft" activeCell="K10" sqref="K10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3" width="9.42578125" customWidth="1"/>
  </cols>
  <sheetData>
    <row r="1" spans="1:17" x14ac:dyDescent="0.25">
      <c r="C1" s="1"/>
      <c r="D1" s="13" t="s">
        <v>45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Green1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Green2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Green3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Blue1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Blue2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Blue3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/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/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/>
      </c>
      <c r="Q1" s="3" t="str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/>
      </c>
    </row>
    <row r="2" spans="1:17" x14ac:dyDescent="0.25">
      <c r="C2" s="5"/>
      <c r="D2" s="5"/>
      <c r="E2" s="1" t="s">
        <v>38</v>
      </c>
    </row>
    <row r="3" spans="1:17" x14ac:dyDescent="0.25">
      <c r="A3" s="1" t="s">
        <v>9</v>
      </c>
      <c r="B3" s="1" t="s">
        <v>11</v>
      </c>
      <c r="C3" s="1" t="s">
        <v>37</v>
      </c>
      <c r="D3" s="1" t="s">
        <v>3</v>
      </c>
      <c r="E3" s="2" t="s">
        <v>25</v>
      </c>
      <c r="F3" s="2" t="s">
        <v>27</v>
      </c>
      <c r="G3" s="2" t="s">
        <v>26</v>
      </c>
      <c r="H3" s="2" t="s">
        <v>31</v>
      </c>
      <c r="I3" s="2" t="s">
        <v>32</v>
      </c>
      <c r="J3" s="2" t="s">
        <v>33</v>
      </c>
      <c r="K3" s="2" t="s">
        <v>28</v>
      </c>
      <c r="L3" s="2" t="s">
        <v>29</v>
      </c>
      <c r="M3" s="2" t="s">
        <v>30</v>
      </c>
      <c r="N3" s="2"/>
      <c r="O3" s="2"/>
      <c r="P3" s="2"/>
      <c r="Q3" s="2"/>
    </row>
    <row r="4" spans="1:17" x14ac:dyDescent="0.25">
      <c r="A4" t="str" cm="1">
        <f t="array" ref="A4:D15">_xll.AuLiComGetFixtureChannelInfos()</f>
        <v>Bar</v>
      </c>
      <c r="B4" t="str">
        <v>CameoLedBar_12Ch</v>
      </c>
      <c r="C4" t="str">
        <v>Ignore1</v>
      </c>
      <c r="D4">
        <v>40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t="str">
        <v>Bar</v>
      </c>
      <c r="B5" t="str">
        <v>CameoLedBar_12Ch</v>
      </c>
      <c r="C5" t="str">
        <v>Ignore2</v>
      </c>
      <c r="D5">
        <v>41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t="str">
        <v>Bar</v>
      </c>
      <c r="B6" t="str">
        <v>CameoLedBar_12Ch</v>
      </c>
      <c r="C6" t="str">
        <v>Ignore3</v>
      </c>
      <c r="D6">
        <v>42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t="str">
        <v>Bar</v>
      </c>
      <c r="B7" t="str">
        <v>CameoLedBar_12Ch</v>
      </c>
      <c r="C7" t="str">
        <v>Red1</v>
      </c>
      <c r="D7">
        <v>43</v>
      </c>
      <c r="E7" s="2">
        <v>100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t="str">
        <v>Bar</v>
      </c>
      <c r="B8" t="str">
        <v>CameoLedBar_12Ch</v>
      </c>
      <c r="C8" t="str">
        <v>Green1</v>
      </c>
      <c r="D8">
        <v>44</v>
      </c>
      <c r="E8" s="2"/>
      <c r="F8" s="2"/>
      <c r="G8" s="2"/>
      <c r="H8" s="2">
        <v>100</v>
      </c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t="str">
        <v>Bar</v>
      </c>
      <c r="B9" t="str">
        <v>CameoLedBar_12Ch</v>
      </c>
      <c r="C9" t="str">
        <v>Blue1</v>
      </c>
      <c r="D9">
        <v>45</v>
      </c>
      <c r="E9" s="2"/>
      <c r="F9" s="2"/>
      <c r="G9" s="2"/>
      <c r="H9" s="2"/>
      <c r="I9" s="2"/>
      <c r="J9" s="2"/>
      <c r="K9" s="2">
        <v>100</v>
      </c>
      <c r="L9" s="2"/>
      <c r="M9" s="2"/>
      <c r="N9" s="2"/>
      <c r="O9" s="2"/>
      <c r="P9" s="2"/>
      <c r="Q9" s="2"/>
    </row>
    <row r="10" spans="1:17" x14ac:dyDescent="0.25">
      <c r="A10" t="str">
        <v>Bar</v>
      </c>
      <c r="B10" t="str">
        <v>CameoLedBar_12Ch</v>
      </c>
      <c r="C10" t="str">
        <v>Red2</v>
      </c>
      <c r="D10">
        <v>46</v>
      </c>
      <c r="E10" s="2"/>
      <c r="F10" s="2">
        <v>100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t="str">
        <v>Bar</v>
      </c>
      <c r="B11" t="str">
        <v>CameoLedBar_12Ch</v>
      </c>
      <c r="C11" t="str">
        <v>Green2</v>
      </c>
      <c r="D11">
        <v>47</v>
      </c>
      <c r="E11" s="2"/>
      <c r="F11" s="2"/>
      <c r="G11" s="2"/>
      <c r="H11" s="2"/>
      <c r="I11" s="2">
        <v>100</v>
      </c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t="str">
        <v>Bar</v>
      </c>
      <c r="B12" t="str">
        <v>CameoLedBar_12Ch</v>
      </c>
      <c r="C12" t="str">
        <v>Blue2</v>
      </c>
      <c r="D12">
        <v>48</v>
      </c>
      <c r="E12" s="2"/>
      <c r="F12" s="2"/>
      <c r="G12" s="2"/>
      <c r="H12" s="2"/>
      <c r="I12" s="2"/>
      <c r="J12" s="2"/>
      <c r="K12" s="2"/>
      <c r="L12" s="2">
        <v>100</v>
      </c>
      <c r="M12" s="2"/>
      <c r="N12" s="2"/>
      <c r="O12" s="2"/>
      <c r="P12" s="2"/>
      <c r="Q12" s="2"/>
    </row>
    <row r="13" spans="1:17" x14ac:dyDescent="0.25">
      <c r="A13" t="str">
        <v>Bar</v>
      </c>
      <c r="B13" t="str">
        <v>CameoLedBar_12Ch</v>
      </c>
      <c r="C13" t="str">
        <v>Red3</v>
      </c>
      <c r="D13">
        <v>49</v>
      </c>
      <c r="E13" s="2"/>
      <c r="F13" s="2"/>
      <c r="G13" s="2">
        <v>100</v>
      </c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t="str">
        <v>Bar</v>
      </c>
      <c r="B14" t="str">
        <v>CameoLedBar_12Ch</v>
      </c>
      <c r="C14" t="str">
        <v>Green3</v>
      </c>
      <c r="D14">
        <v>50</v>
      </c>
      <c r="E14" s="2"/>
      <c r="F14" s="2"/>
      <c r="G14" s="2"/>
      <c r="H14" s="2"/>
      <c r="I14" s="2"/>
      <c r="J14" s="2">
        <v>100</v>
      </c>
      <c r="K14" s="2"/>
      <c r="L14" s="2"/>
      <c r="M14" s="2"/>
      <c r="N14" s="2"/>
      <c r="O14" s="2"/>
      <c r="P14" s="2"/>
      <c r="Q14" s="2"/>
    </row>
    <row r="15" spans="1:17" x14ac:dyDescent="0.25">
      <c r="A15" t="str">
        <v>Bar</v>
      </c>
      <c r="B15" t="str">
        <v>CameoLedBar_12Ch</v>
      </c>
      <c r="C15" t="str">
        <v>Blue3</v>
      </c>
      <c r="D15">
        <v>51</v>
      </c>
      <c r="E15" s="2"/>
      <c r="F15" s="2"/>
      <c r="G15" s="2"/>
      <c r="H15" s="2"/>
      <c r="I15" s="2"/>
      <c r="J15" s="2"/>
      <c r="K15" s="2"/>
      <c r="L15" s="2"/>
      <c r="M15" s="2">
        <v>100</v>
      </c>
      <c r="N15" s="2"/>
      <c r="O15" s="2"/>
      <c r="P15" s="2"/>
      <c r="Q15" s="2"/>
    </row>
    <row r="16" spans="1:17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5:17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5:17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5:17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5:17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5:17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5:17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5:17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5:17" x14ac:dyDescent="0.25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5:17" x14ac:dyDescent="0.25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5:17" x14ac:dyDescent="0.25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5:17" x14ac:dyDescent="0.25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5:17" x14ac:dyDescent="0.25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5:17" x14ac:dyDescent="0.25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5:17" x14ac:dyDescent="0.25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5:17" x14ac:dyDescent="0.2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5:17" x14ac:dyDescent="0.2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5:17" x14ac:dyDescent="0.2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5:17" x14ac:dyDescent="0.2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5:17" x14ac:dyDescent="0.2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5:17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5:17" x14ac:dyDescent="0.2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5:17" x14ac:dyDescent="0.2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5:17" x14ac:dyDescent="0.2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5:17" x14ac:dyDescent="0.2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5:17" x14ac:dyDescent="0.2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5:17" x14ac:dyDescent="0.25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5:17" x14ac:dyDescent="0.25"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5:17" x14ac:dyDescent="0.25">
      <c r="E44" s="2"/>
      <c r="F44" s="2"/>
      <c r="G44" s="2"/>
      <c r="H44" s="2">
        <v>100</v>
      </c>
      <c r="I44" s="2"/>
      <c r="J44" s="2"/>
      <c r="K44" s="2"/>
      <c r="L44" s="2"/>
      <c r="M44" s="2"/>
      <c r="N44" s="2"/>
      <c r="O44" s="2"/>
      <c r="P44" s="2"/>
      <c r="Q44" s="2"/>
    </row>
    <row r="45" spans="5:17" x14ac:dyDescent="0.25">
      <c r="E45" s="2"/>
      <c r="F45" s="2"/>
      <c r="G45" s="2"/>
      <c r="H45" s="2"/>
      <c r="I45" s="2"/>
      <c r="J45" s="2"/>
      <c r="K45" s="2">
        <v>100</v>
      </c>
      <c r="L45" s="2"/>
      <c r="M45" s="2"/>
      <c r="N45" s="2"/>
      <c r="O45" s="2"/>
      <c r="P45" s="2"/>
      <c r="Q45" s="2"/>
    </row>
    <row r="46" spans="5:17" x14ac:dyDescent="0.25"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5:17" x14ac:dyDescent="0.25">
      <c r="E47" s="2"/>
      <c r="F47" s="2"/>
      <c r="G47" s="2"/>
      <c r="H47" s="2"/>
      <c r="I47" s="2">
        <v>100</v>
      </c>
      <c r="J47" s="2"/>
      <c r="K47" s="2"/>
      <c r="L47" s="2"/>
      <c r="M47" s="2"/>
      <c r="N47" s="2"/>
      <c r="O47" s="2"/>
      <c r="P47" s="2"/>
      <c r="Q47" s="2"/>
    </row>
    <row r="48" spans="5:17" x14ac:dyDescent="0.25">
      <c r="E48" s="2"/>
      <c r="F48" s="2"/>
      <c r="G48" s="2"/>
      <c r="H48" s="2"/>
      <c r="I48" s="2"/>
      <c r="J48" s="2"/>
      <c r="K48" s="2"/>
      <c r="L48" s="2">
        <v>100</v>
      </c>
      <c r="M48" s="2"/>
      <c r="N48" s="2"/>
      <c r="O48" s="2"/>
      <c r="P48" s="2"/>
      <c r="Q48" s="2"/>
    </row>
    <row r="49" spans="5:17" x14ac:dyDescent="0.25"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5:17" x14ac:dyDescent="0.25">
      <c r="E50" s="2"/>
      <c r="F50" s="2"/>
      <c r="G50" s="2"/>
      <c r="H50" s="2"/>
      <c r="I50" s="2"/>
      <c r="J50" s="2">
        <v>100</v>
      </c>
      <c r="K50" s="2"/>
      <c r="L50" s="2"/>
      <c r="M50" s="2"/>
      <c r="N50" s="2"/>
      <c r="O50" s="2"/>
      <c r="P50" s="2"/>
      <c r="Q50" s="2"/>
    </row>
    <row r="51" spans="5:17" x14ac:dyDescent="0.25">
      <c r="E51" s="2"/>
      <c r="F51" s="2"/>
      <c r="G51" s="2"/>
      <c r="H51" s="2"/>
      <c r="I51" s="2"/>
      <c r="J51" s="2"/>
      <c r="K51" s="2"/>
      <c r="L51" s="2"/>
      <c r="M51" s="2">
        <v>100</v>
      </c>
      <c r="N51" s="2"/>
      <c r="O51" s="2"/>
      <c r="P51" s="2"/>
      <c r="Q51" s="2"/>
    </row>
    <row r="52" spans="5:17" x14ac:dyDescent="0.25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5:17" x14ac:dyDescent="0.25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5:17" x14ac:dyDescent="0.25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5:17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5:17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5:17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5:17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5:17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5:17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5:17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spans="5:17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spans="5:17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5:17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5:17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spans="5:17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5:17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spans="5:17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spans="5:17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spans="5:17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5:17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spans="5:17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5:17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spans="5:17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5:17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spans="5:17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5:17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spans="5:17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spans="5:17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5:17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5:17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5:17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5:17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5:17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5:17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5:17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5:17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spans="5:17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spans="5:17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spans="5:17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5:17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spans="5:17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spans="5:17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spans="5:17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spans="5:17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spans="5:17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spans="5:17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spans="5:17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spans="5:17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spans="5:17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spans="5:17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spans="5:17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spans="5:17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spans="5:17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spans="5:17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spans="5:17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spans="5:17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spans="5:17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spans="5:17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spans="5:17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spans="5:17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spans="5:17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spans="5:17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spans="5:17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spans="5:17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spans="5:17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spans="5:17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spans="5:17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spans="5:17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spans="5:17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spans="5:17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spans="5:17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spans="5:17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spans="5:17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spans="5:17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spans="5:17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spans="5:17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spans="5:17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spans="5:17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spans="5:17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spans="5:17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spans="5:17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5:17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spans="5:17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5:17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spans="5:17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spans="5:17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spans="5:17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5:17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spans="5:17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spans="5:17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5:17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5:17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5:17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5:17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5:17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5:17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5:17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5:17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5:17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5:17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5:17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spans="5:17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spans="5:17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spans="5:17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5:17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5:17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5:17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5:17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5:17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5:17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5:17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5:17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5:17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5:17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5:17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5:17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5:17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5:17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5:17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5:17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5:17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spans="5:17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spans="5:17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spans="5:17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spans="5:17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spans="5:17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spans="5:17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5:17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5:17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spans="5:17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spans="5:17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spans="5:17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spans="5:17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spans="5:17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spans="5:17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spans="5:17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spans="5:17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spans="5:17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spans="5:17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spans="5:17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spans="5:17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spans="5:17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spans="5:17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spans="5:17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spans="5:17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spans="5:17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spans="5:17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spans="5:17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spans="5:17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spans="5:17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spans="5:17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spans="5:17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spans="5:17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spans="5:17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spans="5:17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spans="5:17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spans="5:17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spans="5:17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spans="5:17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spans="5:17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spans="5:17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spans="5:17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spans="5:17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spans="5:17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spans="5:17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spans="5:17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spans="5:17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spans="5:17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spans="5:17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spans="5:17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</row>
    <row r="222" spans="5:17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</row>
    <row r="223" spans="5:17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</row>
    <row r="224" spans="5:17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</row>
    <row r="225" spans="5:17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</row>
    <row r="226" spans="5:17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</row>
    <row r="227" spans="5:17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</row>
    <row r="228" spans="5:17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</row>
    <row r="229" spans="5:17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</row>
    <row r="230" spans="5:17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</row>
    <row r="231" spans="5:17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</row>
    <row r="232" spans="5:17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</row>
    <row r="233" spans="5:17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</row>
    <row r="234" spans="5:17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</row>
    <row r="235" spans="5:17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</row>
    <row r="236" spans="5:17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</row>
    <row r="237" spans="5:17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</row>
    <row r="238" spans="5:17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</row>
    <row r="239" spans="5:17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</row>
    <row r="240" spans="5:17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</row>
    <row r="241" spans="5:17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</row>
    <row r="242" spans="5:17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</row>
    <row r="243" spans="5:17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</row>
    <row r="244" spans="5:17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</row>
    <row r="245" spans="5:17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</row>
    <row r="246" spans="5:17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</row>
    <row r="247" spans="5:17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</row>
    <row r="248" spans="5:17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</row>
    <row r="249" spans="5:17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</row>
    <row r="250" spans="5:17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</row>
    <row r="251" spans="5:17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</row>
    <row r="252" spans="5:17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</row>
    <row r="253" spans="5:17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</row>
    <row r="254" spans="5:17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</row>
    <row r="255" spans="5:17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</row>
    <row r="256" spans="5:17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</row>
    <row r="257" spans="5:17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</row>
    <row r="258" spans="5:17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</row>
    <row r="259" spans="5:17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</row>
    <row r="260" spans="5:17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</row>
    <row r="261" spans="5:17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</row>
    <row r="262" spans="5:17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</row>
    <row r="263" spans="5:17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</row>
    <row r="264" spans="5:17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</row>
    <row r="265" spans="5:17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</row>
    <row r="266" spans="5:17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</row>
    <row r="267" spans="5:17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</row>
    <row r="268" spans="5:17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</row>
    <row r="269" spans="5:17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</row>
    <row r="270" spans="5:17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5:17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</row>
    <row r="272" spans="5:17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</row>
    <row r="273" spans="5:17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</row>
    <row r="274" spans="5:17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</row>
    <row r="275" spans="5:17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</row>
    <row r="276" spans="5:17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E3:Q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zoomScaleNormal="100" workbookViewId="0">
      <selection activeCell="H13" sqref="H13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14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15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60</v>
      </c>
      <c r="C4" t="str" cm="1">
        <f t="array" ref="C4:F15">_xll.AuLiComGetFixtureChannelInfos()</f>
        <v>Bar</v>
      </c>
      <c r="D4" t="str">
        <v>CameoLedBar_12Ch</v>
      </c>
      <c r="E4" t="str">
        <v>Ignore1</v>
      </c>
      <c r="F4">
        <v>40</v>
      </c>
      <c r="G4" cm="1">
        <f t="array" aca="1" ref="G4:G15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40</v>
      </c>
    </row>
    <row r="5" spans="1:9" x14ac:dyDescent="0.25">
      <c r="C5" t="str">
        <v>Bar</v>
      </c>
      <c r="D5" t="str">
        <v>CameoLedBar_12Ch</v>
      </c>
      <c r="E5" t="str">
        <v>Ignore2</v>
      </c>
      <c r="F5">
        <v>41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41</v>
      </c>
    </row>
    <row r="6" spans="1:9" x14ac:dyDescent="0.25">
      <c r="A6" s="1" t="s">
        <v>16</v>
      </c>
      <c r="C6" t="str">
        <v>Bar</v>
      </c>
      <c r="D6" t="str">
        <v>CameoLedBar_12Ch</v>
      </c>
      <c r="E6" t="str">
        <v>Ignore3</v>
      </c>
      <c r="F6">
        <v>42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42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Bar</v>
      </c>
      <c r="D7" t="str">
        <v>CameoLedBar_12Ch</v>
      </c>
      <c r="E7" t="str">
        <v>Red1</v>
      </c>
      <c r="F7">
        <v>43</v>
      </c>
      <c r="G7">
        <f ca="1"/>
        <v>0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43</v>
      </c>
    </row>
    <row r="8" spans="1:9" x14ac:dyDescent="0.25">
      <c r="A8" s="6"/>
      <c r="C8" t="str">
        <v>Bar</v>
      </c>
      <c r="D8" t="str">
        <v>CameoLedBar_12Ch</v>
      </c>
      <c r="E8" t="str">
        <v>Green1</v>
      </c>
      <c r="F8">
        <v>44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44</v>
      </c>
    </row>
    <row r="9" spans="1:9" x14ac:dyDescent="0.25">
      <c r="A9" s="6"/>
      <c r="C9" t="str">
        <v>Bar</v>
      </c>
      <c r="D9" t="str">
        <v>CameoLedBar_12Ch</v>
      </c>
      <c r="E9" t="str">
        <v>Blue1</v>
      </c>
      <c r="F9">
        <v>45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45</v>
      </c>
    </row>
    <row r="10" spans="1:9" x14ac:dyDescent="0.25">
      <c r="A10" s="6"/>
      <c r="C10" t="str">
        <v>Bar</v>
      </c>
      <c r="D10" t="str">
        <v>CameoLedBar_12Ch</v>
      </c>
      <c r="E10" t="str">
        <v>Red2</v>
      </c>
      <c r="F10">
        <v>46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46</v>
      </c>
    </row>
    <row r="11" spans="1:9" x14ac:dyDescent="0.25">
      <c r="A11" s="6"/>
      <c r="C11" t="str">
        <v>Bar</v>
      </c>
      <c r="D11" t="str">
        <v>CameoLedBar_12Ch</v>
      </c>
      <c r="E11" t="str">
        <v>Green2</v>
      </c>
      <c r="F11">
        <v>47</v>
      </c>
      <c r="G11">
        <f ca="1"/>
        <v>100</v>
      </c>
      <c r="H11" s="2">
        <v>0</v>
      </c>
      <c r="I11" s="3" cm="1">
        <f t="array" ref="I11">IF(ChannelManualMode,
IF(ISNUMBER(H11),
    _xll.AuLiComSetChannelValue(F11,H11*ChannelMaster%),
    _xll.AuLiComSetChannelColor(F11,H11)),
"")</f>
        <v>47</v>
      </c>
    </row>
    <row r="12" spans="1:9" x14ac:dyDescent="0.25">
      <c r="A12" s="6"/>
      <c r="C12" t="str">
        <v>Bar</v>
      </c>
      <c r="D12" t="str">
        <v>CameoLedBar_12Ch</v>
      </c>
      <c r="E12" t="str">
        <v>Blue2</v>
      </c>
      <c r="F12">
        <v>48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48</v>
      </c>
    </row>
    <row r="13" spans="1:9" x14ac:dyDescent="0.25">
      <c r="A13" s="6"/>
      <c r="C13" t="str">
        <v>Bar</v>
      </c>
      <c r="D13" t="str">
        <v>CameoLedBar_12Ch</v>
      </c>
      <c r="E13" t="str">
        <v>Red3</v>
      </c>
      <c r="F13">
        <v>49</v>
      </c>
      <c r="G13">
        <f ca="1"/>
        <v>0</v>
      </c>
      <c r="H13" s="2"/>
      <c r="I13" s="3" cm="1">
        <f t="array" ref="I13">IF(ChannelManualMode,
IF(ISNUMBER(H13),
    _xll.AuLiComSetChannelValue(F13,H13*ChannelMaster%),
    _xll.AuLiComSetChannelColor(F13,H13)),
"")</f>
        <v>49</v>
      </c>
    </row>
    <row r="14" spans="1:9" x14ac:dyDescent="0.25">
      <c r="A14" s="6"/>
      <c r="C14" t="str">
        <v>Bar</v>
      </c>
      <c r="D14" t="str">
        <v>CameoLedBar_12Ch</v>
      </c>
      <c r="E14" t="str">
        <v>Green3</v>
      </c>
      <c r="F14">
        <v>50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50</v>
      </c>
    </row>
    <row r="15" spans="1:9" x14ac:dyDescent="0.25">
      <c r="A15" s="6"/>
      <c r="C15" t="str">
        <v>Bar</v>
      </c>
      <c r="D15" t="str">
        <v>CameoLedBar_12Ch</v>
      </c>
      <c r="E15" t="str">
        <v>Blue3</v>
      </c>
      <c r="F15">
        <v>51</v>
      </c>
      <c r="G15">
        <f ca="1"/>
        <v>0</v>
      </c>
      <c r="H15" s="2">
        <v>0</v>
      </c>
      <c r="I15" s="3" cm="1">
        <f t="array" ref="I15">IF(ChannelManualMode,
IF(ISNUMBER(H15),
    _xll.AuLiComSetChannelValue(F15,H15*ChannelMaster%),
    _xll.AuLiComSetChannelColor(F15,H15)),
"")</f>
        <v>51</v>
      </c>
    </row>
    <row r="16" spans="1:9" x14ac:dyDescent="0.25">
      <c r="A16" s="6"/>
      <c r="H16" s="2">
        <v>0</v>
      </c>
      <c r="I16" s="3" cm="1">
        <f t="array" ref="I16">IF(ChannelManualMode,
IF(ISNUMBER(H16),
    _xll.AuLiComSetChannelValue(F16,H16*ChannelMaster%),
    _xll.AuLiComSetChannelColor(F16,H16)),
"")</f>
        <v>0</v>
      </c>
    </row>
    <row r="17" spans="1:9" x14ac:dyDescent="0.25">
      <c r="A17" s="6"/>
      <c r="H17" s="2">
        <v>0</v>
      </c>
      <c r="I17" s="3" cm="1">
        <f t="array" ref="I17">IF(ChannelManualMode,
IF(ISNUMBER(H17),
    _xll.AuLiComSetChannelValue(F17,H17*ChannelMaster%),
    _xll.AuLiComSetChannelColor(F17,H17)),
"")</f>
        <v>0</v>
      </c>
    </row>
    <row r="18" spans="1:9" x14ac:dyDescent="0.25">
      <c r="A18" s="6"/>
      <c r="H18" s="2">
        <v>0</v>
      </c>
      <c r="I18" s="3" cm="1">
        <f t="array" ref="I18">IF(ChannelManualMode,
IF(ISNUMBER(H18),
    _xll.AuLiComSetChannelValue(F18,H18*ChannelMaster%),
    _xll.AuLiComSetChannelColor(F18,H18)),
"")</f>
        <v>0</v>
      </c>
    </row>
    <row r="19" spans="1:9" x14ac:dyDescent="0.25">
      <c r="A19" s="6"/>
      <c r="H19" s="2">
        <v>0</v>
      </c>
      <c r="I19" s="3" cm="1">
        <f t="array" ref="I19">IF(ChannelManualMode,
IF(ISNUMBER(H19),
    _xll.AuLiComSetChannelValue(F19,H19*ChannelMaster%),
    _xll.AuLiComSetChannelColor(F19,H19)),
"")</f>
        <v>0</v>
      </c>
    </row>
    <row r="20" spans="1:9" x14ac:dyDescent="0.25">
      <c r="A20" s="6"/>
      <c r="H20" s="2">
        <v>0</v>
      </c>
      <c r="I20" s="3" cm="1">
        <f t="array" ref="I20">IF(ChannelManualMode,
IF(ISNUMBER(H20),
    _xll.AuLiComSetChannelValue(F20,H20*ChannelMaster%),
    _xll.AuLiComSetChannelColor(F20,H20)),
"")</f>
        <v>0</v>
      </c>
    </row>
    <row r="21" spans="1:9" x14ac:dyDescent="0.25">
      <c r="A21" s="6"/>
      <c r="H21" s="2">
        <v>0</v>
      </c>
      <c r="I21" s="3" cm="1">
        <f t="array" ref="I21">IF(ChannelManualMode,
IF(ISNUMBER(H21),
    _xll.AuLiComSetChannelValue(F21,H21*ChannelMaster%),
    _xll.AuLiComSetChannelColor(F21,H21)),
"")</f>
        <v>0</v>
      </c>
    </row>
    <row r="22" spans="1:9" x14ac:dyDescent="0.25">
      <c r="A22" s="6"/>
      <c r="H22" s="2">
        <v>0</v>
      </c>
      <c r="I22" s="3" cm="1">
        <f t="array" ref="I22">IF(ChannelManualMode,
IF(ISNUMBER(H22),
    _xll.AuLiComSetChannelValue(F22,H22*ChannelMaster%),
    _xll.AuLiComSetChannelColor(F22,H22)),
"")</f>
        <v>0</v>
      </c>
    </row>
    <row r="23" spans="1:9" x14ac:dyDescent="0.25">
      <c r="A23" s="6"/>
      <c r="H23" s="2">
        <v>0</v>
      </c>
      <c r="I23" s="3" cm="1">
        <f t="array" ref="I23">IF(ChannelManualMode,
IF(ISNUMBER(H23),
    _xll.AuLiComSetChannelValue(F23,H23*ChannelMaster%),
    _xll.AuLiComSetChannelColor(F23,H23)),
"")</f>
        <v>0</v>
      </c>
    </row>
    <row r="24" spans="1:9" x14ac:dyDescent="0.25">
      <c r="A24" s="6"/>
      <c r="H24" s="2">
        <v>0</v>
      </c>
      <c r="I24" s="3" cm="1">
        <f t="array" ref="I24">IF(ChannelManualMode,
IF(ISNUMBER(H24),
    _xll.AuLiComSetChannelValue(F24,H24*ChannelMaster%),
    _xll.AuLiComSetChannelColor(F24,H24)),
"")</f>
        <v>0</v>
      </c>
    </row>
    <row r="25" spans="1:9" x14ac:dyDescent="0.25">
      <c r="A25" s="6"/>
      <c r="H25" s="2">
        <v>0</v>
      </c>
      <c r="I25" s="3" cm="1">
        <f t="array" ref="I25">IF(ChannelManualMode,
IF(ISNUMBER(H25),
    _xll.AuLiComSetChannelValue(F25,H25*ChannelMaster%),
    _xll.AuLiComSetChannelColor(F25,H25)),
"")</f>
        <v>0</v>
      </c>
    </row>
    <row r="26" spans="1:9" x14ac:dyDescent="0.25">
      <c r="A26" s="6"/>
      <c r="H26" s="2">
        <v>0</v>
      </c>
      <c r="I26" s="3" cm="1">
        <f t="array" ref="I26">IF(ChannelManualMode,
IF(ISNUMBER(H26),
    _xll.AuLiComSetChannelValue(F26,H26*ChannelMaster%),
    _xll.AuLiComSetChannelColor(F26,H26)),
"")</f>
        <v>0</v>
      </c>
    </row>
    <row r="27" spans="1:9" x14ac:dyDescent="0.25">
      <c r="A27" s="6"/>
      <c r="H27" s="2">
        <v>0</v>
      </c>
      <c r="I27" s="3" cm="1">
        <f t="array" ref="I27">IF(ChannelManualMode,
IF(ISNUMBER(H27),
    _xll.AuLiComSetChannelValue(F27,H27*ChannelMaster%),
    _xll.AuLiComSetChannelColor(F27,H27)),
"")</f>
        <v>0</v>
      </c>
    </row>
    <row r="28" spans="1:9" x14ac:dyDescent="0.25">
      <c r="A28" s="6"/>
      <c r="H28" s="2">
        <v>0</v>
      </c>
      <c r="I28" s="3" cm="1">
        <f t="array" ref="I28">IF(ChannelManualMode,
IF(ISNUMBER(H28),
    _xll.AuLiComSetChannelValue(F28,H28*ChannelMaster%),
    _xll.AuLiComSetChannelColor(F28,H28)),
"")</f>
        <v>0</v>
      </c>
    </row>
    <row r="29" spans="1:9" x14ac:dyDescent="0.25">
      <c r="A29" s="6"/>
      <c r="H29" s="2">
        <v>0</v>
      </c>
      <c r="I29" s="3" cm="1">
        <f t="array" ref="I29">IF(ChannelManualMode,
IF(ISNUMBER(H29),
    _xll.AuLiComSetChannelValue(F29,H29*ChannelMaster%),
    _xll.AuLiComSetChannelColor(F29,H29)),
"")</f>
        <v>0</v>
      </c>
    </row>
    <row r="30" spans="1:9" x14ac:dyDescent="0.25">
      <c r="A30" s="6"/>
      <c r="H30" s="2">
        <v>0</v>
      </c>
      <c r="I30" s="3" cm="1">
        <f t="array" ref="I30">IF(ChannelManualMode,
IF(ISNUMBER(H30),
    _xll.AuLiComSetChannelValue(F30,H30*ChannelMaster%),
    _xll.AuLiComSetChannelColor(F30,H30)),
"")</f>
        <v>0</v>
      </c>
    </row>
    <row r="31" spans="1:9" x14ac:dyDescent="0.25">
      <c r="A31" s="6"/>
      <c r="H31" s="2">
        <v>0</v>
      </c>
      <c r="I31" s="3" cm="1">
        <f t="array" ref="I31">IF(ChannelManualMode,
IF(ISNUMBER(H31),
    _xll.AuLiComSetChannelValue(F31,H31*ChannelMaster%),
    _xll.AuLiComSetChannelColor(F31,H31)),
"")</f>
        <v>0</v>
      </c>
    </row>
    <row r="32" spans="1:9" x14ac:dyDescent="0.25">
      <c r="A32" s="6"/>
      <c r="H32" s="2">
        <v>0</v>
      </c>
      <c r="I32" s="3" cm="1">
        <f t="array" ref="I32">IF(ChannelManualMode,
IF(ISNUMBER(H32),
    _xll.AuLiComSetChannelValue(F32,H32*ChannelMaster%),
    _xll.AuLiComSetChannelColor(F32,H32)),
"")</f>
        <v>0</v>
      </c>
    </row>
    <row r="33" spans="1:9" x14ac:dyDescent="0.25">
      <c r="A33" s="6"/>
      <c r="H33" s="2">
        <v>0</v>
      </c>
      <c r="I33" s="3" cm="1">
        <f t="array" ref="I33">IF(ChannelManualMode,
IF(ISNUMBER(H33),
    _xll.AuLiComSetChannelValue(F33,H33*ChannelMaster%),
    _xll.AuLiComSetChannelColor(F33,H33)),
"")</f>
        <v>0</v>
      </c>
    </row>
    <row r="34" spans="1:9" x14ac:dyDescent="0.25">
      <c r="A34" s="6"/>
      <c r="H34" s="2">
        <v>0</v>
      </c>
      <c r="I34" s="3" cm="1">
        <f t="array" ref="I34">IF(ChannelManualMode,
IF(ISNUMBER(H34),
    _xll.AuLiComSetChannelValue(F34,H34*ChannelMaster%),
    _xll.AuLiComSetChannelColor(F34,H34)),
"")</f>
        <v>0</v>
      </c>
    </row>
    <row r="35" spans="1:9" x14ac:dyDescent="0.25">
      <c r="A35" s="6"/>
      <c r="H35" s="2">
        <v>0</v>
      </c>
      <c r="I35" s="3" cm="1">
        <f t="array" ref="I35">IF(ChannelManualMode,
IF(ISNUMBER(H35),
    _xll.AuLiComSetChannelValue(F35,H35*ChannelMaster%),
    _xll.AuLiComSetChannelColor(F35,H35)),
"")</f>
        <v>0</v>
      </c>
    </row>
    <row r="36" spans="1:9" x14ac:dyDescent="0.25">
      <c r="A36" s="6"/>
      <c r="H36" s="2">
        <v>0</v>
      </c>
      <c r="I36" s="3" cm="1">
        <f t="array" ref="I36">IF(ChannelManualMode,
IF(ISNUMBER(H36),
    _xll.AuLiComSetChannelValue(F36,H36*ChannelMaster%),
    _xll.AuLiComSetChannelColor(F36,H36)),
"")</f>
        <v>0</v>
      </c>
    </row>
    <row r="37" spans="1:9" x14ac:dyDescent="0.25">
      <c r="A37" s="6"/>
      <c r="H37" s="2">
        <v>0</v>
      </c>
      <c r="I37" s="3" cm="1">
        <f t="array" ref="I37">IF(ChannelManualMode,
IF(ISNUMBER(H37),
    _xll.AuLiComSetChannelValue(F37,H37*ChannelMaster%),
    _xll.AuLiComSetChannelColor(F37,H37)),
"")</f>
        <v>0</v>
      </c>
    </row>
    <row r="38" spans="1:9" x14ac:dyDescent="0.25">
      <c r="A38" s="6"/>
      <c r="H38" s="2">
        <v>0</v>
      </c>
      <c r="I38" s="3" cm="1">
        <f t="array" ref="I38">IF(ChannelManualMode,
IF(ISNUMBER(H38),
    _xll.AuLiComSetChannelValue(F38,H38*ChannelMaster%),
    _xll.AuLiComSetChannelColor(F38,H38)),
"")</f>
        <v>0</v>
      </c>
    </row>
    <row r="39" spans="1:9" x14ac:dyDescent="0.25">
      <c r="A39" s="6"/>
      <c r="H39" s="2">
        <v>0</v>
      </c>
      <c r="I39" s="3" cm="1">
        <f t="array" ref="I39">IF(ChannelManualMode,
IF(ISNUMBER(H39),
    _xll.AuLiComSetChannelValue(F39,H39*ChannelMaster%),
    _xll.AuLiComSetChannelColor(F39,H39)),
"")</f>
        <v>0</v>
      </c>
    </row>
    <row r="40" spans="1:9" x14ac:dyDescent="0.25">
      <c r="A40" s="6"/>
      <c r="H40" s="2">
        <v>0</v>
      </c>
      <c r="I40" s="3" cm="1">
        <f t="array" ref="I40">IF(ChannelManualMode,
IF(ISNUMBER(H40),
    _xll.AuLiComSetChannelValue(F40,H40*ChannelMaster%),
    _xll.AuLiComSetChannelColor(F40,H40)),
"")</f>
        <v>0</v>
      </c>
    </row>
    <row r="41" spans="1:9" x14ac:dyDescent="0.25">
      <c r="A41" s="6"/>
      <c r="H41" s="2">
        <v>0</v>
      </c>
      <c r="I41" s="3" cm="1">
        <f t="array" ref="I41">IF(ChannelManualMode,
IF(ISNUMBER(H41),
    _xll.AuLiComSetChannelValue(F41,H41*ChannelMaster%),
    _xll.AuLiComSetChannelColor(F41,H41)),
"")</f>
        <v>0</v>
      </c>
    </row>
    <row r="42" spans="1:9" x14ac:dyDescent="0.25">
      <c r="A42" s="6"/>
      <c r="H42" s="2">
        <v>0</v>
      </c>
      <c r="I42" s="3" cm="1">
        <f t="array" ref="I42">IF(ChannelManualMode,
IF(ISNUMBER(H42),
    _xll.AuLiComSetChannelValue(F42,H42*ChannelMaster%),
    _xll.AuLiComSetChannelColor(F42,H42)),
"")</f>
        <v>0</v>
      </c>
    </row>
    <row r="43" spans="1:9" x14ac:dyDescent="0.25">
      <c r="A43" s="6"/>
      <c r="H43" s="2">
        <v>0</v>
      </c>
      <c r="I43" s="3" cm="1">
        <f t="array" ref="I43">IF(ChannelManualMode,
IF(ISNUMBER(H43),
    _xll.AuLiComSetChannelValue(F43,H43*ChannelMaster%),
    _xll.AuLiComSetChannelColor(F43,H43)),
"")</f>
        <v>0</v>
      </c>
    </row>
    <row r="44" spans="1:9" x14ac:dyDescent="0.25">
      <c r="A44" s="6"/>
      <c r="H44" s="2">
        <v>0</v>
      </c>
      <c r="I44" s="3" cm="1">
        <f t="array" ref="I44">IF(ChannelManualMode,
IF(ISNUMBER(H44),
    _xll.AuLiComSetChannelValue(F44,H44*ChannelMaster%),
    _xll.AuLiComSetChannelColor(F44,H44)),
"")</f>
        <v>0</v>
      </c>
    </row>
    <row r="45" spans="1:9" x14ac:dyDescent="0.25">
      <c r="A45" s="6"/>
      <c r="H45" s="2">
        <v>0</v>
      </c>
      <c r="I45" s="3" cm="1">
        <f t="array" ref="I45">IF(ChannelManualMode,
IF(ISNUMBER(H45),
    _xll.AuLiComSetChannelValue(F45,H45*ChannelMaster%),
    _xll.AuLiComSetChannelColor(F45,H45)),
"")</f>
        <v>0</v>
      </c>
    </row>
    <row r="46" spans="1:9" x14ac:dyDescent="0.25">
      <c r="A46" s="6"/>
      <c r="H46" s="2">
        <v>0</v>
      </c>
      <c r="I46" s="3" cm="1">
        <f t="array" ref="I46">IF(ChannelManualMode,
IF(ISNUMBER(H46),
    _xll.AuLiComSetChannelValue(F46,H46*ChannelMaster%),
    _xll.AuLiComSetChannelColor(F46,H46)),
"")</f>
        <v>0</v>
      </c>
    </row>
    <row r="47" spans="1:9" x14ac:dyDescent="0.25">
      <c r="A47" s="6"/>
      <c r="H47" s="2">
        <v>0</v>
      </c>
      <c r="I47" s="3" cm="1">
        <f t="array" ref="I47">IF(ChannelManualMode,
IF(ISNUMBER(H47),
    _xll.AuLiComSetChannelValue(F47,H47*ChannelMaster%),
    _xll.AuLiComSetChannelColor(F47,H47)),
"")</f>
        <v>0</v>
      </c>
    </row>
    <row r="48" spans="1:9" x14ac:dyDescent="0.25">
      <c r="A48" s="6"/>
      <c r="H48" s="2">
        <v>0</v>
      </c>
      <c r="I48" s="3" cm="1">
        <f t="array" ref="I48">IF(ChannelManualMode,
IF(ISNUMBER(H48),
    _xll.AuLiComSetChannelValue(F48,H48*ChannelMaster%),
    _xll.AuLiComSetChannelColor(F48,H48)),
"")</f>
        <v>0</v>
      </c>
    </row>
    <row r="49" spans="1:9" x14ac:dyDescent="0.25">
      <c r="A49" s="6"/>
      <c r="H49" s="2">
        <v>0</v>
      </c>
      <c r="I49" s="3" cm="1">
        <f t="array" ref="I49">IF(ChannelManualMode,
IF(ISNUMBER(H49),
    _xll.AuLiComSetChannelValue(F49,H49*ChannelMaster%),
    _xll.AuLiComSetChannelColor(F49,H49)),
"")</f>
        <v>0</v>
      </c>
    </row>
    <row r="50" spans="1:9" x14ac:dyDescent="0.25">
      <c r="A50" s="6"/>
      <c r="H50" s="2">
        <v>0</v>
      </c>
      <c r="I50" s="3" cm="1">
        <f t="array" ref="I50">IF(ChannelManualMode,
IF(ISNUMBER(H50),
    _xll.AuLiComSetChannelValue(F50,H50*ChannelMaster%),
    _xll.AuLiComSetChannelColor(F50,H50)),
"")</f>
        <v>0</v>
      </c>
    </row>
    <row r="51" spans="1:9" x14ac:dyDescent="0.25">
      <c r="A51" s="6"/>
      <c r="H51" s="2">
        <v>0</v>
      </c>
      <c r="I51" s="3" cm="1">
        <f t="array" ref="I51">IF(ChannelManualMode,
IF(ISNUMBER(H51),
    _xll.AuLiComSetChannelValue(F51,H51*ChannelMaster%),
    _xll.AuLiComSetChannelColor(F51,H51)),
"")</f>
        <v>0</v>
      </c>
    </row>
    <row r="52" spans="1:9" x14ac:dyDescent="0.25">
      <c r="A52" s="6"/>
      <c r="H52" s="2">
        <v>0</v>
      </c>
      <c r="I52" s="3" cm="1">
        <f t="array" ref="I52">IF(ChannelManualMode,
IF(ISNUMBER(H52),
    _xll.AuLiComSetChannelValue(F52,H52*ChannelMaster%),
    _xll.AuLiComSetChannelColor(F52,H52)),
"")</f>
        <v>0</v>
      </c>
    </row>
    <row r="53" spans="1:9" x14ac:dyDescent="0.25">
      <c r="A53" s="6"/>
      <c r="H53" s="2">
        <v>0</v>
      </c>
      <c r="I53" s="3" cm="1">
        <f t="array" ref="I53">IF(ChannelManualMode,
IF(ISNUMBER(H53),
    _xll.AuLiComSetChannelValue(F53,H53*ChannelMaster%),
    _xll.AuLiComSetChannelColor(F53,H53)),
"")</f>
        <v>0</v>
      </c>
    </row>
    <row r="54" spans="1:9" x14ac:dyDescent="0.25">
      <c r="H54" s="2">
        <v>0</v>
      </c>
      <c r="I54" s="3" cm="1">
        <f t="array" ref="I54">IF(ChannelManualMode,
IF(ISNUMBER(H54),
    _xll.AuLiComSetChannelValue(F54,H54*ChannelMaster%),
    _xll.AuLiComSetChannelColor(F54,H54)),
"")</f>
        <v>0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9"/>
  <sheetViews>
    <sheetView tabSelected="1" workbookViewId="0">
      <selection activeCell="B6" sqref="B6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3" x14ac:dyDescent="0.25">
      <c r="A1" s="8" t="s">
        <v>17</v>
      </c>
      <c r="B1" s="8"/>
    </row>
    <row r="2" spans="1:3" x14ac:dyDescent="0.25">
      <c r="A2" s="9" t="str" cm="1">
        <f t="array" ref="A2:A10">_xlfn._xlws.SORT(_xll.AuLiComGetScenes())</f>
        <v>Blue1</v>
      </c>
      <c r="B2" s="9">
        <v>1</v>
      </c>
    </row>
    <row r="3" spans="1:3" x14ac:dyDescent="0.25">
      <c r="A3" s="9" t="str">
        <v>Blue2</v>
      </c>
      <c r="B3" s="9">
        <v>1</v>
      </c>
    </row>
    <row r="4" spans="1:3" x14ac:dyDescent="0.25">
      <c r="A4" s="9" t="str">
        <v>Blue3</v>
      </c>
      <c r="B4" s="9">
        <v>1</v>
      </c>
    </row>
    <row r="5" spans="1:3" x14ac:dyDescent="0.25">
      <c r="A5" s="9" t="str">
        <v>Green1</v>
      </c>
      <c r="B5" s="9">
        <v>1</v>
      </c>
    </row>
    <row r="6" spans="1:3" x14ac:dyDescent="0.25">
      <c r="A6" s="9" t="str">
        <v>Green2</v>
      </c>
      <c r="B6" s="9">
        <v>4</v>
      </c>
      <c r="C6" s="10" t="s">
        <v>72</v>
      </c>
    </row>
    <row r="7" spans="1:3" x14ac:dyDescent="0.25">
      <c r="A7" s="9" t="str">
        <v>Green3</v>
      </c>
      <c r="B7" s="9">
        <v>5</v>
      </c>
    </row>
    <row r="8" spans="1:3" x14ac:dyDescent="0.25">
      <c r="A8" s="9" t="str">
        <v>Red1</v>
      </c>
      <c r="B8" s="9">
        <v>1</v>
      </c>
    </row>
    <row r="9" spans="1:3" x14ac:dyDescent="0.25">
      <c r="A9" s="9" t="str">
        <v>Red2</v>
      </c>
      <c r="B9" s="9">
        <v>1</v>
      </c>
    </row>
    <row r="10" spans="1:3" x14ac:dyDescent="0.25">
      <c r="A10" s="9" t="str">
        <v>Red3</v>
      </c>
      <c r="B10" s="9">
        <v>1</v>
      </c>
    </row>
    <row r="11" spans="1:3" x14ac:dyDescent="0.25">
      <c r="B11" s="9">
        <v>1</v>
      </c>
    </row>
    <row r="12" spans="1:3" x14ac:dyDescent="0.25">
      <c r="B12" s="9">
        <v>1</v>
      </c>
    </row>
    <row r="13" spans="1:3" x14ac:dyDescent="0.25">
      <c r="B13" s="9">
        <v>1</v>
      </c>
    </row>
    <row r="14" spans="1:3" x14ac:dyDescent="0.25">
      <c r="B14" s="9">
        <v>1</v>
      </c>
    </row>
    <row r="15" spans="1:3" x14ac:dyDescent="0.25">
      <c r="B15" s="9">
        <v>1</v>
      </c>
    </row>
    <row r="16" spans="1:3" x14ac:dyDescent="0.25">
      <c r="B16" s="9">
        <v>1</v>
      </c>
    </row>
    <row r="17" spans="2:2" x14ac:dyDescent="0.25">
      <c r="B17" s="9">
        <v>1</v>
      </c>
    </row>
    <row r="18" spans="2:2" x14ac:dyDescent="0.25">
      <c r="B18" s="9">
        <v>1</v>
      </c>
    </row>
    <row r="19" spans="2:2" x14ac:dyDescent="0.25">
      <c r="B19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4" sqref="C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19</v>
      </c>
    </row>
    <row r="3" spans="1:28" x14ac:dyDescent="0.25">
      <c r="A3" s="1" t="s">
        <v>2</v>
      </c>
      <c r="B3" s="1" t="s">
        <v>22</v>
      </c>
      <c r="C3" s="1" t="s">
        <v>20</v>
      </c>
      <c r="D3" s="1" t="s">
        <v>21</v>
      </c>
    </row>
    <row r="4" spans="1:28" x14ac:dyDescent="0.25">
      <c r="A4" s="22" t="s">
        <v>24</v>
      </c>
      <c r="B4" s="22" t="s">
        <v>23</v>
      </c>
      <c r="C4" s="22">
        <v>100</v>
      </c>
      <c r="D4" s="22" t="s">
        <v>25</v>
      </c>
      <c r="E4" s="22" t="s">
        <v>27</v>
      </c>
      <c r="F4" s="22" t="s">
        <v>26</v>
      </c>
      <c r="G4" s="22" t="s">
        <v>39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25">
      <c r="A5" s="22" t="s">
        <v>34</v>
      </c>
      <c r="B5" s="22" t="s">
        <v>61</v>
      </c>
      <c r="C5" s="22">
        <v>333</v>
      </c>
      <c r="D5" s="22" t="s">
        <v>25</v>
      </c>
      <c r="E5" s="22" t="s">
        <v>27</v>
      </c>
      <c r="F5" s="22" t="s">
        <v>26</v>
      </c>
      <c r="G5" s="22" t="s">
        <v>39</v>
      </c>
      <c r="H5" s="22" t="s">
        <v>31</v>
      </c>
      <c r="I5" s="22" t="s">
        <v>32</v>
      </c>
      <c r="J5" s="22" t="s">
        <v>33</v>
      </c>
      <c r="K5" s="22" t="s">
        <v>40</v>
      </c>
      <c r="L5" s="22" t="s">
        <v>28</v>
      </c>
      <c r="M5" s="22" t="s">
        <v>29</v>
      </c>
      <c r="N5" s="22" t="s">
        <v>30</v>
      </c>
      <c r="O5" s="22" t="s">
        <v>41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25">
      <c r="A6" s="22" t="s">
        <v>62</v>
      </c>
      <c r="B6" s="22" t="s">
        <v>35</v>
      </c>
      <c r="C6" s="22">
        <v>500</v>
      </c>
      <c r="D6" s="22" t="s">
        <v>28</v>
      </c>
      <c r="E6" s="22" t="s">
        <v>29</v>
      </c>
      <c r="F6" s="22" t="s">
        <v>30</v>
      </c>
      <c r="G6" s="22" t="s">
        <v>41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25">
      <c r="A7" s="22" t="s">
        <v>67</v>
      </c>
      <c r="B7" s="22" t="s">
        <v>35</v>
      </c>
      <c r="C7" s="22">
        <v>500</v>
      </c>
      <c r="D7" s="22" t="s">
        <v>63</v>
      </c>
      <c r="E7" s="22" t="s">
        <v>68</v>
      </c>
      <c r="F7" s="22" t="s">
        <v>64</v>
      </c>
      <c r="G7" s="22" t="s">
        <v>65</v>
      </c>
      <c r="H7" s="22" t="s">
        <v>66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2024-01-31T13:58:52Z</dcterms:modified>
</cp:coreProperties>
</file>