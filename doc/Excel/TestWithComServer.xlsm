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cf072f8ee41ce39/Code/C^N und .NET/AuLiCom/doc/Excel/"/>
    </mc:Choice>
  </mc:AlternateContent>
  <xr:revisionPtr revIDLastSave="2983" documentId="8_{33E53E1F-A3F6-4075-900F-54641BCFD3E8}" xr6:coauthVersionLast="47" xr6:coauthVersionMax="47" xr10:uidLastSave="{B4BE1369-A03D-4E06-A5E4-E03840D5056F}"/>
  <bookViews>
    <workbookView xWindow="3900" yWindow="3900" windowWidth="28800" windowHeight="15435" activeTab="4" xr2:uid="{AB2CF87F-81B4-4088-AE2E-2820582A8761}"/>
  </bookViews>
  <sheets>
    <sheet name="Channels" sheetId="8" r:id="rId1"/>
    <sheet name="Chasers" sheetId="5" r:id="rId2"/>
    <sheet name="Scene Player" sheetId="4" r:id="rId3"/>
    <sheet name="Scenes" sheetId="2" r:id="rId4"/>
    <sheet name="Fixtures" sheetId="3" r:id="rId5"/>
    <sheet name="Colors" sheetId="9" r:id="rId6"/>
    <sheet name="Internals" sheetId="1" r:id="rId7"/>
  </sheets>
  <functionGroups builtInGroupCount="19"/>
  <definedNames>
    <definedName name="ChannelCount">Internals!$B$2</definedName>
    <definedName name="ChannelLevelAndColorSuggestions">OFFSET(Internals!$C$2,0,0,COUNTA(Internals!$C:$C)-1)</definedName>
    <definedName name="ChannelLevels">OFFSET(Internals!$D$2,0,0,COUNTA(Internals!$D:$D)-1)</definedName>
    <definedName name="ChannelManualMode">Channels!$I$1</definedName>
    <definedName name="ChannelMaster">Channels!$H$1</definedName>
    <definedName name="ChannelsVersion">Internals!$A$6</definedName>
    <definedName name="ChaserKinds">OFFSET(Internals!$F$2,0,0,COUNTA(Internals!$F:$F)-1)</definedName>
    <definedName name="ColorNames">OFFSET(Internals!$E$2,0,0,COUNTA(Internals!$E:$E)-1)</definedName>
    <definedName name="DmxVersion">Internals!$A$3</definedName>
    <definedName name="FixturesVersion">Internals!$A$4</definedName>
    <definedName name="FixtureTypes">OFFSET(Internals!$G$2,0,0,COUNTA(Internals!$G:$G)-1)</definedName>
    <definedName name="SceneCount">Internals!$B$5</definedName>
    <definedName name="SceneNames">OFFSET(Internals!$H$2,0,0,COUNTA(Internals!$H:$H)-1)</definedName>
    <definedName name="ScenesVersion">Internals!$A$5</definedName>
    <definedName name="SelectedPort">Internals!$A$2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1" i="2" l="1" a="1"/>
  <c r="Y1" i="2" s="1"/>
  <c r="X1" i="2" a="1"/>
  <c r="X1" i="2" s="1"/>
  <c r="W1" i="2" a="1"/>
  <c r="W1" i="2" s="1"/>
  <c r="V1" i="2" a="1"/>
  <c r="V1" i="2" s="1"/>
  <c r="H1" i="9" a="1"/>
  <c r="H1" i="9" s="1"/>
  <c r="H8" i="9" s="1" a="1"/>
  <c r="H8" i="9" s="1"/>
  <c r="A3" i="1" a="1"/>
  <c r="G1" i="9" a="1"/>
  <c r="F2" i="1" a="1"/>
  <c r="F1" i="9" a="1"/>
  <c r="C1" i="9" a="1"/>
  <c r="G2" i="1" a="1"/>
  <c r="D1" i="9" a="1"/>
  <c r="B1" i="9" a="1"/>
  <c r="E1" i="9" a="1"/>
  <c r="A4" i="2" a="1"/>
  <c r="I1" i="2" a="1"/>
  <c r="U1" i="2" a="1"/>
  <c r="R1" i="2" a="1"/>
  <c r="F1" i="2" a="1"/>
  <c r="Q1" i="2" a="1"/>
  <c r="H2" i="1" a="1"/>
  <c r="B5" i="1"/>
  <c r="O1" i="2" a="1"/>
  <c r="P1" i="2" a="1"/>
  <c r="A2" i="4" a="1"/>
  <c r="A7" i="1" a="1"/>
  <c r="E2" i="1" a="1"/>
  <c r="K1" i="2" a="1"/>
  <c r="M1" i="2" a="1"/>
  <c r="L1" i="2" a="1"/>
  <c r="B2" i="1" a="1"/>
  <c r="J1" i="2" a="1"/>
  <c r="T1" i="2" a="1"/>
  <c r="N1" i="2" a="1"/>
  <c r="G1" i="2" a="1"/>
  <c r="S1" i="2" a="1"/>
  <c r="E1" i="2" a="1"/>
  <c r="H1" i="2" a="1"/>
  <c r="A2" i="4" l="1"/>
  <c r="B2" i="1"/>
  <c r="Q1" i="2"/>
  <c r="S1" i="2"/>
  <c r="U1" i="2"/>
  <c r="R1" i="2"/>
  <c r="T1" i="2"/>
  <c r="A3" i="1"/>
  <c r="E2" i="1"/>
  <c r="C2" i="1" s="1" a="1"/>
  <c r="C2" i="1" s="1"/>
  <c r="G1" i="9"/>
  <c r="F1" i="9"/>
  <c r="E1" i="9"/>
  <c r="D1" i="9"/>
  <c r="A7" i="1"/>
  <c r="C1" i="9"/>
  <c r="B1" i="9"/>
  <c r="P1" i="2"/>
  <c r="O1" i="2"/>
  <c r="K1" i="2"/>
  <c r="G1" i="2"/>
  <c r="N1" i="2"/>
  <c r="M1" i="2"/>
  <c r="I1" i="2"/>
  <c r="L1" i="2"/>
  <c r="J1" i="2"/>
  <c r="H1" i="2"/>
  <c r="F1" i="2"/>
  <c r="E1" i="2"/>
  <c r="G2" i="1"/>
  <c r="H2" i="1"/>
  <c r="A4" i="2"/>
  <c r="F2" i="1"/>
  <c r="I18" i="1" a="1"/>
  <c r="I17" i="1" a="1"/>
  <c r="I6" i="1" a="1"/>
  <c r="I5" i="1" a="1"/>
  <c r="G8" i="9" a="1"/>
  <c r="F8" i="9" a="1"/>
  <c r="I2" i="1" a="1"/>
  <c r="I12" i="1" a="1"/>
  <c r="I7" i="1" a="1"/>
  <c r="I10" i="1" a="1"/>
  <c r="I13" i="1" a="1"/>
  <c r="C8" i="9" a="1"/>
  <c r="I15" i="1" a="1"/>
  <c r="I4" i="1" a="1"/>
  <c r="I3" i="1" a="1"/>
  <c r="I16" i="1" a="1"/>
  <c r="B8" i="9" a="1"/>
  <c r="I8" i="1" a="1"/>
  <c r="I9" i="1" a="1"/>
  <c r="I11" i="1" a="1"/>
  <c r="I14" i="1" a="1"/>
  <c r="E8" i="9" a="1"/>
  <c r="D8" i="9" a="1"/>
  <c r="C4" i="8" a="1"/>
  <c r="I4" i="8" a="1"/>
  <c r="I11" i="8" a="1"/>
  <c r="I6" i="8" a="1"/>
  <c r="I8" i="8" a="1"/>
  <c r="I15" i="8" a="1"/>
  <c r="I5" i="8" a="1"/>
  <c r="I9" i="8" a="1"/>
  <c r="I12" i="8" a="1"/>
  <c r="I14" i="8" a="1"/>
  <c r="I10" i="8" a="1"/>
  <c r="I13" i="8" a="1"/>
  <c r="I7" i="8" a="1"/>
  <c r="I50" i="8" a="1"/>
  <c r="I21" i="8" a="1"/>
  <c r="I28" i="8" a="1"/>
  <c r="I23" i="8" a="1"/>
  <c r="I20" i="8" a="1"/>
  <c r="I24" i="8" a="1"/>
  <c r="I46" i="8" a="1"/>
  <c r="I18" i="8" a="1"/>
  <c r="I35" i="8" a="1"/>
  <c r="I54" i="8" a="1"/>
  <c r="I16" i="8" a="1"/>
  <c r="I44" i="8" a="1"/>
  <c r="I30" i="8" a="1"/>
  <c r="I41" i="8" a="1"/>
  <c r="I25" i="8" a="1"/>
  <c r="I38" i="8" a="1"/>
  <c r="I53" i="8" a="1"/>
  <c r="I52" i="8" a="1"/>
  <c r="I31" i="8" a="1"/>
  <c r="I19" i="8" a="1"/>
  <c r="I40" i="8" a="1"/>
  <c r="I36" i="8" a="1"/>
  <c r="I17" i="8" a="1"/>
  <c r="I51" i="8" a="1"/>
  <c r="I34" i="8" a="1"/>
  <c r="I45" i="8" a="1"/>
  <c r="I32" i="8" a="1"/>
  <c r="I26" i="8" a="1"/>
  <c r="I47" i="8" a="1"/>
  <c r="I33" i="8" a="1"/>
  <c r="I48" i="8" a="1"/>
  <c r="I39" i="8" a="1"/>
  <c r="I22" i="8" a="1"/>
  <c r="I43" i="8" a="1"/>
  <c r="I37" i="8" a="1"/>
  <c r="I29" i="8" a="1"/>
  <c r="I42" i="8" a="1"/>
  <c r="I27" i="8" a="1"/>
  <c r="I49" i="8" a="1"/>
  <c r="I17" i="1" l="1"/>
  <c r="I18" i="1"/>
  <c r="I14" i="1"/>
  <c r="I15" i="1"/>
  <c r="I16" i="1"/>
  <c r="I5" i="8"/>
  <c r="I13" i="8"/>
  <c r="I21" i="8"/>
  <c r="I29" i="8"/>
  <c r="I37" i="8"/>
  <c r="I45" i="8"/>
  <c r="I53" i="8"/>
  <c r="I12" i="8"/>
  <c r="I20" i="8"/>
  <c r="I28" i="8"/>
  <c r="I36" i="8"/>
  <c r="I44" i="8"/>
  <c r="I52" i="8"/>
  <c r="I7" i="8"/>
  <c r="I15" i="8"/>
  <c r="I23" i="8"/>
  <c r="I31" i="8"/>
  <c r="I39" i="8"/>
  <c r="I47" i="8"/>
  <c r="I6" i="8"/>
  <c r="I14" i="8"/>
  <c r="I22" i="8"/>
  <c r="I30" i="8"/>
  <c r="I38" i="8"/>
  <c r="I46" i="8"/>
  <c r="I54" i="8"/>
  <c r="I9" i="8"/>
  <c r="I17" i="8"/>
  <c r="I25" i="8"/>
  <c r="I33" i="8"/>
  <c r="I41" i="8"/>
  <c r="I49" i="8"/>
  <c r="I8" i="8"/>
  <c r="I16" i="8"/>
  <c r="I24" i="8"/>
  <c r="I32" i="8"/>
  <c r="I40" i="8"/>
  <c r="I48" i="8"/>
  <c r="I4" i="8"/>
  <c r="I11" i="8"/>
  <c r="I19" i="8"/>
  <c r="I27" i="8"/>
  <c r="I35" i="8"/>
  <c r="I43" i="8"/>
  <c r="I51" i="8"/>
  <c r="I10" i="8"/>
  <c r="I18" i="8"/>
  <c r="I26" i="8"/>
  <c r="I34" i="8"/>
  <c r="I42" i="8"/>
  <c r="I50" i="8"/>
  <c r="I2" i="1"/>
  <c r="G8" i="9"/>
  <c r="F8" i="9"/>
  <c r="E8" i="9"/>
  <c r="D8" i="9"/>
  <c r="C8" i="9"/>
  <c r="B8" i="9"/>
  <c r="I9" i="1"/>
  <c r="I12" i="1"/>
  <c r="I11" i="1"/>
  <c r="I13" i="1"/>
  <c r="I8" i="1"/>
  <c r="I10" i="1"/>
  <c r="I3" i="1"/>
  <c r="I6" i="1"/>
  <c r="I5" i="1"/>
  <c r="I7" i="1"/>
  <c r="I4" i="1"/>
  <c r="C4" i="8"/>
  <c r="AB20" i="5" a="1"/>
  <c r="AB20" i="5" s="1"/>
  <c r="AB19" i="5" a="1"/>
  <c r="AB19" i="5" s="1"/>
  <c r="AB18" i="5" a="1"/>
  <c r="AB18" i="5" s="1"/>
  <c r="AB17" i="5" a="1"/>
  <c r="AB17" i="5" s="1"/>
  <c r="AB16" i="5" a="1"/>
  <c r="AB16" i="5" s="1"/>
  <c r="AB15" i="5" a="1"/>
  <c r="AB15" i="5" s="1"/>
  <c r="AB14" i="5" a="1"/>
  <c r="AB14" i="5" s="1"/>
  <c r="AB13" i="5" a="1"/>
  <c r="AB13" i="5" s="1"/>
  <c r="AB12" i="5" a="1"/>
  <c r="AB12" i="5" s="1"/>
  <c r="AB11" i="5" a="1"/>
  <c r="AB11" i="5" s="1"/>
  <c r="AB10" i="5" a="1"/>
  <c r="AB10" i="5" s="1"/>
  <c r="AB9" i="5" a="1"/>
  <c r="AB9" i="5" s="1"/>
  <c r="AB8" i="5" a="1"/>
  <c r="AB8" i="5" s="1"/>
  <c r="AB4" i="5" a="1"/>
  <c r="AB5" i="5" a="1"/>
  <c r="AB7" i="5" a="1"/>
  <c r="AB6" i="5" a="1"/>
  <c r="G4" i="8" a="1"/>
  <c r="AB7" i="5" l="1"/>
  <c r="AB6" i="5"/>
  <c r="G4" i="8"/>
  <c r="AB5" i="5"/>
  <c r="AB4" i="5"/>
  <c r="A12" i="1" a="1"/>
  <c r="A5" i="1" a="1"/>
  <c r="A4" i="1" a="1"/>
  <c r="A6" i="1" a="1"/>
  <c r="A12" i="1" l="1"/>
  <c r="A4" i="1"/>
  <c r="A5" i="1"/>
  <c r="A6" i="1"/>
  <c r="F32" i="3" a="1"/>
  <c r="F28" i="3" a="1"/>
  <c r="F19" i="3" a="1"/>
  <c r="F25" i="3" a="1"/>
  <c r="A7" i="8" a="1"/>
  <c r="F39" i="3" a="1"/>
  <c r="F29" i="3" a="1"/>
  <c r="F8" i="3" a="1"/>
  <c r="F34" i="3" a="1"/>
  <c r="F3" i="3" a="1"/>
  <c r="F11" i="3" a="1"/>
  <c r="F14" i="3" a="1"/>
  <c r="F20" i="3" a="1"/>
  <c r="F15" i="3" a="1"/>
  <c r="F13" i="3" a="1"/>
  <c r="F18" i="3" a="1"/>
  <c r="F16" i="3" a="1"/>
  <c r="F22" i="3" a="1"/>
  <c r="F38" i="3" a="1"/>
  <c r="F17" i="3" a="1"/>
  <c r="F24" i="3" a="1"/>
  <c r="F10" i="3" a="1"/>
  <c r="F30" i="3" a="1"/>
  <c r="F36" i="3" a="1"/>
  <c r="F31" i="3" a="1"/>
  <c r="F2" i="3" a="1"/>
  <c r="F12" i="3" a="1"/>
  <c r="F5" i="3" a="1"/>
  <c r="F37" i="3" a="1"/>
  <c r="F7" i="3" a="1"/>
  <c r="F4" i="3" a="1"/>
  <c r="F9" i="3" a="1"/>
  <c r="F6" i="3" a="1"/>
  <c r="F35" i="3" a="1"/>
  <c r="F26" i="3" a="1"/>
  <c r="F33" i="3" a="1"/>
  <c r="F27" i="3" a="1"/>
  <c r="F23" i="3" a="1"/>
  <c r="F21" i="3" a="1"/>
  <c r="A7" i="8" l="1"/>
  <c r="F22" i="3"/>
  <c r="F20" i="3"/>
  <c r="F27" i="3"/>
  <c r="F19" i="3"/>
  <c r="F18" i="3"/>
  <c r="F4" i="3"/>
  <c r="F8" i="3"/>
  <c r="F12" i="3"/>
  <c r="F16" i="3"/>
  <c r="F25" i="3"/>
  <c r="F30" i="3"/>
  <c r="F37" i="3"/>
  <c r="F36" i="3"/>
  <c r="F7" i="3"/>
  <c r="F11" i="3"/>
  <c r="F15" i="3"/>
  <c r="F26" i="3"/>
  <c r="F31" i="3"/>
  <c r="F5" i="3"/>
  <c r="F9" i="3"/>
  <c r="F13" i="3"/>
  <c r="F17" i="3"/>
  <c r="F29" i="3"/>
  <c r="F34" i="3"/>
  <c r="F24" i="3"/>
  <c r="F33" i="3"/>
  <c r="F10" i="3"/>
  <c r="F14" i="3"/>
  <c r="F21" i="3"/>
  <c r="F35" i="3"/>
  <c r="F38" i="3"/>
  <c r="F28" i="3"/>
  <c r="F39" i="3"/>
  <c r="F6" i="3"/>
  <c r="F3" i="3"/>
  <c r="F23" i="3"/>
  <c r="F32" i="3"/>
  <c r="F2" i="3"/>
  <c r="D29" i="3" a="1"/>
  <c r="D16" i="3" a="1"/>
  <c r="D2" i="3" a="1"/>
  <c r="D7" i="3" a="1"/>
  <c r="D31" i="3" a="1"/>
  <c r="D35" i="3" a="1"/>
  <c r="D27" i="3" a="1"/>
  <c r="D3" i="3" a="1"/>
  <c r="D8" i="3" a="1"/>
  <c r="D32" i="3" a="1"/>
  <c r="D36" i="3" a="1"/>
  <c r="D21" i="3" a="1"/>
  <c r="D24" i="3" a="1"/>
  <c r="D39" i="3" a="1"/>
  <c r="D20" i="3" a="1"/>
  <c r="D9" i="3" a="1"/>
  <c r="D19" i="3" a="1"/>
  <c r="D38" i="3" a="1"/>
  <c r="D17" i="3" a="1"/>
  <c r="D26" i="3" a="1"/>
  <c r="D22" i="3" a="1"/>
  <c r="D34" i="3" a="1"/>
  <c r="D37" i="3" a="1"/>
  <c r="D25" i="3" a="1"/>
  <c r="D11" i="3" a="1"/>
  <c r="D5" i="3" a="1"/>
  <c r="D33" i="3" a="1"/>
  <c r="D6" i="3" a="1"/>
  <c r="D18" i="3" a="1"/>
  <c r="D15" i="3" a="1"/>
  <c r="D23" i="3" a="1"/>
  <c r="D4" i="3" a="1"/>
  <c r="D28" i="3" a="1"/>
  <c r="D30" i="3" a="1"/>
  <c r="D10" i="3" a="1"/>
  <c r="D13" i="3" a="1"/>
  <c r="D12" i="3" a="1"/>
  <c r="D14" i="3" a="1"/>
  <c r="D19" i="3" l="1"/>
  <c r="E19" i="3" s="1"/>
  <c r="D27" i="3"/>
  <c r="E27" i="3" s="1"/>
  <c r="D20" i="3"/>
  <c r="E20" i="3" s="1"/>
  <c r="D18" i="3"/>
  <c r="E18" i="3" s="1"/>
  <c r="D22" i="3"/>
  <c r="E22" i="3" s="1"/>
  <c r="D32" i="3"/>
  <c r="E32" i="3" s="1"/>
  <c r="D39" i="3"/>
  <c r="E39" i="3" s="1"/>
  <c r="D21" i="3"/>
  <c r="E21" i="3" s="1"/>
  <c r="D24" i="3"/>
  <c r="E24" i="3" s="1"/>
  <c r="D13" i="3"/>
  <c r="E13" i="3" s="1"/>
  <c r="D26" i="3"/>
  <c r="E26" i="3" s="1"/>
  <c r="D36" i="3"/>
  <c r="E36" i="3" s="1"/>
  <c r="D16" i="3"/>
  <c r="E16" i="3" s="1"/>
  <c r="D23" i="3"/>
  <c r="E23" i="3" s="1"/>
  <c r="D28" i="3"/>
  <c r="E28" i="3" s="1"/>
  <c r="D14" i="3"/>
  <c r="E14" i="3" s="1"/>
  <c r="D34" i="3"/>
  <c r="E34" i="3" s="1"/>
  <c r="D9" i="3"/>
  <c r="E9" i="3" s="1"/>
  <c r="D15" i="3"/>
  <c r="E15" i="3" s="1"/>
  <c r="D37" i="3"/>
  <c r="E37" i="3" s="1"/>
  <c r="D12" i="3"/>
  <c r="E12" i="3" s="1"/>
  <c r="D3" i="3"/>
  <c r="E3" i="3" s="1"/>
  <c r="D38" i="3"/>
  <c r="E38" i="3" s="1"/>
  <c r="D10" i="3"/>
  <c r="E10" i="3" s="1"/>
  <c r="D29" i="3"/>
  <c r="E29" i="3" s="1"/>
  <c r="D5" i="3"/>
  <c r="E5" i="3" s="1"/>
  <c r="D11" i="3"/>
  <c r="E11" i="3" s="1"/>
  <c r="D30" i="3"/>
  <c r="E30" i="3" s="1"/>
  <c r="D8" i="3"/>
  <c r="E8" i="3" s="1"/>
  <c r="D6" i="3"/>
  <c r="E6" i="3" s="1"/>
  <c r="D35" i="3"/>
  <c r="E35" i="3" s="1"/>
  <c r="D33" i="3"/>
  <c r="E33" i="3" s="1"/>
  <c r="D17" i="3"/>
  <c r="E17" i="3" s="1"/>
  <c r="D31" i="3"/>
  <c r="E31" i="3" s="1"/>
  <c r="D7" i="3"/>
  <c r="E7" i="3" s="1"/>
  <c r="D25" i="3"/>
  <c r="E25" i="3" s="1"/>
  <c r="D4" i="3"/>
  <c r="E4" i="3" s="1"/>
  <c r="D2" i="3"/>
  <c r="E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<sst xmlns="http://schemas.openxmlformats.org/spreadsheetml/2006/main" count="183" uniqueCount="123">
  <si>
    <t>All Available Ports</t>
  </si>
  <si>
    <t>CHANNELS</t>
  </si>
  <si>
    <t>Name</t>
  </si>
  <si>
    <t>Channel</t>
  </si>
  <si>
    <t>Set New Value Formula</t>
  </si>
  <si>
    <t>Current Value (%)</t>
  </si>
  <si>
    <t>New Value (%)</t>
  </si>
  <si>
    <t>Channel Master</t>
  </si>
  <si>
    <t>Channel Name</t>
  </si>
  <si>
    <t>Fixture Name</t>
  </si>
  <si>
    <t>Fixture Type</t>
  </si>
  <si>
    <t>GenericLamp</t>
  </si>
  <si>
    <t>Type</t>
  </si>
  <si>
    <t>Start Channel</t>
  </si>
  <si>
    <t>Channel Count</t>
  </si>
  <si>
    <t>COMMANDS</t>
  </si>
  <si>
    <t>Input</t>
  </si>
  <si>
    <t>Output</t>
  </si>
  <si>
    <t>Select One Scene below</t>
  </si>
  <si>
    <t>Empty</t>
  </si>
  <si>
    <t>CHASERS</t>
  </si>
  <si>
    <t>Step Duration in Milliseconds</t>
  </si>
  <si>
    <t>Steps</t>
  </si>
  <si>
    <t>Kind</t>
  </si>
  <si>
    <t>Random</t>
  </si>
  <si>
    <t>Reds</t>
  </si>
  <si>
    <t>Red1</t>
  </si>
  <si>
    <t>Red3</t>
  </si>
  <si>
    <t>Red2</t>
  </si>
  <si>
    <t>Blue1</t>
  </si>
  <si>
    <t>Blue2</t>
  </si>
  <si>
    <t>Blue3</t>
  </si>
  <si>
    <t>Green1</t>
  </si>
  <si>
    <t>Green2</t>
  </si>
  <si>
    <t>Green3</t>
  </si>
  <si>
    <t>All Colors</t>
  </si>
  <si>
    <t>BackAndForth</t>
  </si>
  <si>
    <t>CantataPc</t>
  </si>
  <si>
    <t>CantataProfiler</t>
  </si>
  <si>
    <t>Cantata Profiler</t>
  </si>
  <si>
    <t>Profiler links</t>
  </si>
  <si>
    <t>Profiler rechts</t>
  </si>
  <si>
    <t>Aulalicht</t>
  </si>
  <si>
    <t>Seitenlicht 3 links</t>
  </si>
  <si>
    <t>Seitenlicht 3 rechts</t>
  </si>
  <si>
    <t>Seitenlicht 4 links</t>
  </si>
  <si>
    <t>Seitenlicht 4 rechts</t>
  </si>
  <si>
    <t>Seitenlicht 5 links</t>
  </si>
  <si>
    <t>Seitenlicht 5 rechts</t>
  </si>
  <si>
    <t>Frontlicht 1 links</t>
  </si>
  <si>
    <t>Frontlicht 1 rechts</t>
  </si>
  <si>
    <t>Frontlicht Band 2</t>
  </si>
  <si>
    <t>Par64</t>
  </si>
  <si>
    <t>Gegenlicht</t>
  </si>
  <si>
    <t>Par56Silver</t>
  </si>
  <si>
    <t>Profiler</t>
  </si>
  <si>
    <t>Frontlicht 2 links</t>
  </si>
  <si>
    <t>ElationKl4Fresnel_1Ch</t>
  </si>
  <si>
    <t>Frontlicht 2 links-mitte</t>
  </si>
  <si>
    <t>Frontlicht 2 mitte</t>
  </si>
  <si>
    <t>Frontlicht 2 rechts-mitte</t>
  </si>
  <si>
    <t>Frontlicht 2 rechts</t>
  </si>
  <si>
    <t>Seitenlicht 1 links</t>
  </si>
  <si>
    <t>Gegenlicht Traverse links</t>
  </si>
  <si>
    <t>Seitenlicht 2 links</t>
  </si>
  <si>
    <t>Spot Rohr links</t>
  </si>
  <si>
    <t>Frontlicht 3 links</t>
  </si>
  <si>
    <t>Gegenlicht vorne 2x</t>
  </si>
  <si>
    <t>Frontlicht 3 mitte</t>
  </si>
  <si>
    <t>Spot Rohr rechts</t>
  </si>
  <si>
    <t>Frontlicht 3 rechts</t>
  </si>
  <si>
    <t>Seitenlicht 2 rechts</t>
  </si>
  <si>
    <t>Gegenlicht Traverse rechts</t>
  </si>
  <si>
    <t>Seitenlicht 1 rechts</t>
  </si>
  <si>
    <t>CameoThunderWash600Rgbw_7Ch2</t>
  </si>
  <si>
    <t>LED Fluter</t>
  </si>
  <si>
    <t>OtherPc</t>
  </si>
  <si>
    <t>Special über der Bühne</t>
  </si>
  <si>
    <t>LED vorne links</t>
  </si>
  <si>
    <t>LED vorne rechts</t>
  </si>
  <si>
    <t>LED hinten links</t>
  </si>
  <si>
    <t>LED hinten rechts</t>
  </si>
  <si>
    <t>End Channel</t>
  </si>
  <si>
    <t>CameoPixBar650CPro_3Ch1</t>
  </si>
  <si>
    <t>AriaPc</t>
  </si>
  <si>
    <t>Quartz</t>
  </si>
  <si>
    <t>Ch-Name</t>
  </si>
  <si>
    <t>Enter a unique scene name in each column of the line below</t>
  </si>
  <si>
    <t>Red4</t>
  </si>
  <si>
    <t>Green4</t>
  </si>
  <si>
    <t>Blue4</t>
  </si>
  <si>
    <t>CHASER TYPES</t>
  </si>
  <si>
    <t>FIXTURE TYPES</t>
  </si>
  <si>
    <t>PORT</t>
  </si>
  <si>
    <t>Created scenes --&gt;</t>
  </si>
  <si>
    <t>SCENES</t>
  </si>
  <si>
    <t>Red</t>
  </si>
  <si>
    <t>Green</t>
  </si>
  <si>
    <t>Blue</t>
  </si>
  <si>
    <t>Orange</t>
  </si>
  <si>
    <t>Hover over the text in this line to preview the color</t>
  </si>
  <si>
    <t>Enter a unique color name in each column of the line below</t>
  </si>
  <si>
    <t>Created colors --&gt;</t>
  </si>
  <si>
    <t>Pink</t>
  </si>
  <si>
    <t>Dark Blue</t>
  </si>
  <si>
    <t>Light Blue</t>
  </si>
  <si>
    <t>DMX6</t>
  </si>
  <si>
    <t>COLORS</t>
  </si>
  <si>
    <t>CHANNEL LEVELS</t>
  </si>
  <si>
    <t>CHANNEL LEVEL AND COLOR SUGGESTIONS</t>
  </si>
  <si>
    <t>clear</t>
  </si>
  <si>
    <t>Loop</t>
  </si>
  <si>
    <t>Blues</t>
  </si>
  <si>
    <t>Front2a</t>
  </si>
  <si>
    <t>Front2c</t>
  </si>
  <si>
    <t>Front2d</t>
  </si>
  <si>
    <t>Front2e</t>
  </si>
  <si>
    <t>Front2</t>
  </si>
  <si>
    <t>Front2b</t>
  </si>
  <si>
    <t>CHANNEL COUNT</t>
  </si>
  <si>
    <t>SCENE COUNT</t>
  </si>
  <si>
    <t>Fade Time in Seconds</t>
  </si>
  <si>
    <t>Active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</si>
</sst>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8000"/>
        <bgColor indexed="64"/>
      </patternFill>
    </fill>
    <fill>
      <patternFill patternType="solid">
        <fgColor rgb="FFFF80FF"/>
        <bgColor indexed="64"/>
      </patternFill>
    </fill>
    <fill>
      <patternFill patternType="solid">
        <fgColor rgb="FF0033FF"/>
        <bgColor indexed="64"/>
      </patternFill>
    </fill>
    <fill>
      <patternFill patternType="solid">
        <fgColor rgb="FF00DEFF"/>
        <bgColor indexed="64"/>
      </patternFill>
    </fill>
    <fill>
      <patternFill patternType="solid">
        <fgColor rgb="FF00C400"/>
        <bgColor indexed="64"/>
      </patternFill>
    </fill>
    <fill>
      <patternFill patternType="solid">
        <fgColor rgb="FFC40000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7" fillId="0" borderId="0" applyNumberFormat="0" applyFill="0" applyBorder="0" applyAlignment="0" applyProtection="0"/>
  </cellStyleXfs>
  <cellXfs count="25">
    <xf numFmtId="0" fontId="0" fillId="0" borderId="0" xfId="0"/>
    <xf numFmtId="0" fontId="1" fillId="0" borderId="0" xfId="0" applyFont="1"/>
    <xf numFmtId="0" fontId="2" fillId="2" borderId="1" xfId="1"/>
    <xf numFmtId="0" fontId="3" fillId="0" borderId="0" xfId="0" applyFont="1"/>
    <xf numFmtId="0" fontId="4" fillId="0" borderId="0" xfId="0" applyFont="1"/>
    <xf numFmtId="0" fontId="1" fillId="0" borderId="0" xfId="0" applyFont="1" applyAlignment="1">
      <alignment horizontal="center"/>
    </xf>
    <xf numFmtId="0" fontId="6" fillId="0" borderId="0" xfId="0" applyFont="1"/>
    <xf numFmtId="49" fontId="7" fillId="2" borderId="1" xfId="2" applyNumberFormat="1" applyFill="1" applyBorder="1"/>
    <xf numFmtId="0" fontId="1" fillId="0" borderId="0" xfId="0" applyFont="1" applyProtection="1">
      <protection locked="0"/>
    </xf>
    <xf numFmtId="0" fontId="0" fillId="0" borderId="0" xfId="0" applyProtection="1">
      <protection locked="0"/>
    </xf>
    <xf numFmtId="0" fontId="8" fillId="0" borderId="0" xfId="0" applyFont="1"/>
    <xf numFmtId="0" fontId="1" fillId="0" borderId="0" xfId="0" applyFont="1" applyAlignment="1">
      <alignment horizontal="left"/>
    </xf>
    <xf numFmtId="0" fontId="9" fillId="2" borderId="1" xfId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2" fillId="2" borderId="1" xfId="1" applyProtection="1">
      <protection locked="0"/>
    </xf>
    <xf numFmtId="0" fontId="0" fillId="0" borderId="0" xfId="0" applyAlignment="1">
      <alignment horizontal="right"/>
    </xf>
    <xf numFmtId="0" fontId="7" fillId="0" borderId="0" xfId="2"/>
  </cellXfs>
  <cellStyles count="3">
    <cellStyle name="Hyperlink" xfId="2" builtinId="8"/>
    <cellStyle name="Input" xfId="1" builtinId="20"/>
    <cellStyle name="Normal" xfId="0" builtinId="0"/>
  </cellStyles>
  <dxfs count="16"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_59206f9cab3e42a0935dbf332651f040">
      <tp>
        <v>41</v>
        <stp/>
        <stp>00491cd0-c140-45f3-ad8c-58ff54057a33</stp>
        <tr r="A5" s="1"/>
      </tp>
    </main>
    <main first="rtdsrv_59206f9cab3e42a0935dbf332651f040">
      <tp>
        <v>18</v>
        <stp/>
        <stp>c62ec6f9-70aa-43e1-b0df-01e497016361</stp>
        <tr r="I11" s="1"/>
      </tp>
    </main>
    <main first="rtdsrv_59206f9cab3e42a0935dbf332651f040">
      <tp>
        <v>18</v>
        <stp/>
        <stp>8add999a-1cd4-4b1c-a394-9cd89366743e</stp>
        <tr r="I13" s="1"/>
      </tp>
      <tp>
        <v>18</v>
        <stp/>
        <stp>0336452e-8281-44e8-9e1b-762fd6461c3e</stp>
        <tr r="I16" s="1"/>
      </tp>
    </main>
    <main first="rtdsrv_59206f9cab3e42a0935dbf332651f040">
      <tp>
        <v>18</v>
        <stp/>
        <stp>d2b88724-63b6-45fb-984c-42003c04aac1</stp>
        <tr r="I3" s="1"/>
      </tp>
      <tp>
        <v>18</v>
        <stp/>
        <stp>ab87354b-b2f1-4cab-9944-602720a5c638</stp>
        <tr r="I17" s="1"/>
      </tp>
      <tp>
        <v>18</v>
        <stp/>
        <stp>6eee6b88-b89f-44cf-a73c-176d97592b77</stp>
        <tr r="I7" s="1"/>
      </tp>
    </main>
    <main first="rtdsrv_59206f9cab3e42a0935dbf332651f040">
      <tp>
        <v>18</v>
        <stp/>
        <stp>e2b37953-cdd4-4797-b5a1-ef6739c702bd</stp>
        <tr r="I2" s="1"/>
      </tp>
    </main>
    <main first="rtdsrv_59206f9cab3e42a0935dbf332651f040">
      <tp>
        <v>18</v>
        <stp/>
        <stp>48b833cb-e145-425c-8cdd-d9bd8b09abd5</stp>
        <tr r="I5" s="1"/>
      </tp>
    </main>
    <main first="rtdsrv_59206f9cab3e42a0935dbf332651f040">
      <tp>
        <v>7</v>
        <stp/>
        <stp>f8d7ab96-480d-4921-8aed-455df2686c32</stp>
        <tr r="E2" s="1"/>
      </tp>
    </main>
    <main first="rtdsrv_59206f9cab3e42a0935dbf332651f040">
      <tp>
        <v>18</v>
        <stp/>
        <stp>d276b7c4-fb15-43e7-aff3-bf6fa2caf955</stp>
        <tr r="I10" s="1"/>
      </tp>
    </main>
    <main first="rtdsrv_59206f9cab3e42a0935dbf332651f040">
      <tp>
        <v>18</v>
        <stp/>
        <stp>180652e2-2f17-4a90-8279-9ca96e444cc9</stp>
        <tr r="I12" s="1"/>
      </tp>
      <tp>
        <v>7</v>
        <stp/>
        <stp>d0f9fead-e5f7-4c83-b49f-3ca092a1406c</stp>
        <tr r="A7" s="1"/>
      </tp>
    </main>
    <main first="rtdsrv_59206f9cab3e42a0935dbf332651f040">
      <tp>
        <v>56</v>
        <stp/>
        <stp>0768198d-ee80-4fae-b1f5-0b4c4e20375e</stp>
        <tr r="G4" s="8"/>
        <tr r="H1" s="2"/>
        <tr r="H1" s="2"/>
        <tr r="E1" s="2"/>
        <tr r="E1" s="2"/>
        <tr r="S1" s="2"/>
        <tr r="S1" s="2"/>
        <tr r="G1" s="2"/>
        <tr r="G1" s="2"/>
        <tr r="N1" s="2"/>
        <tr r="N1" s="2"/>
        <tr r="T1" s="2"/>
        <tr r="T1" s="2"/>
        <tr r="J1" s="2"/>
        <tr r="J1" s="2"/>
        <tr r="L1" s="2"/>
        <tr r="L1" s="2"/>
        <tr r="M1" s="2"/>
        <tr r="M1" s="2"/>
        <tr r="K1" s="2"/>
        <tr r="K1" s="2"/>
        <tr r="P1" s="2"/>
        <tr r="P1" s="2"/>
        <tr r="O1" s="2"/>
        <tr r="O1" s="2"/>
        <tr r="Q1" s="2"/>
        <tr r="Q1" s="2"/>
        <tr r="F1" s="2"/>
        <tr r="F1" s="2"/>
        <tr r="R1" s="2"/>
        <tr r="R1" s="2"/>
        <tr r="U1" s="2"/>
        <tr r="U1" s="2"/>
        <tr r="I1" s="2"/>
        <tr r="I1" s="2"/>
        <tr r="B2" s="1"/>
      </tp>
    </main>
    <main first="rtdsrv_59206f9cab3e42a0935dbf332651f040">
      <tp>
        <v>18</v>
        <stp/>
        <stp>951e70bb-5985-4d50-a070-979a40f9b45f</stp>
        <tr r="I18" s="1"/>
      </tp>
    </main>
    <main first="rtdsrv_59206f9cab3e42a0935dbf332651f040">
      <tp>
        <v>18</v>
        <stp/>
        <stp>7fb5ded1-2130-4ed7-a24e-d1a45ecdfda4</stp>
        <tr r="I4" s="1"/>
      </tp>
    </main>
    <main first="rtdsrv_59206f9cab3e42a0935dbf332651f040">
      <tp>
        <v>18</v>
        <stp/>
        <stp>3538ca6c-c365-4ed8-b595-eda2ce1e2458</stp>
        <tr r="I14" s="1"/>
      </tp>
      <tp>
        <v>18</v>
        <stp/>
        <stp>824ec684-3e84-473d-a202-3346a28f6b71</stp>
        <tr r="I8" s="1"/>
      </tp>
    </main>
    <main first="rtdsrv_59206f9cab3e42a0935dbf332651f040">
      <tp>
        <v>18</v>
        <stp/>
        <stp>8ce995dd-5520-4fe7-b802-50d8d71acc1b</stp>
        <tr r="I6" s="1"/>
      </tp>
    </main>
    <main first="rtdsrv_59206f9cab3e42a0935dbf332651f040">
      <tp>
        <v>18</v>
        <stp/>
        <stp>1fd93dd3-288f-43cf-9e55-261876407bd0</stp>
        <tr r="I15" s="1"/>
      </tp>
    </main>
    <main first="rtdsrv_59206f9cab3e42a0935dbf332651f040">
      <tp>
        <v>56</v>
        <stp/>
        <stp>359e6c17-92e0-4fba-90ea-61559b50568f</stp>
        <tr r="A4" s="1"/>
      </tp>
    </main>
    <main first="rtdsrv_59206f9cab3e42a0935dbf332651f040">
      <tp>
        <v>41</v>
        <stp/>
        <stp>4bc46859-fc2d-401f-b7bd-b1a58abf9e08</stp>
        <tr r="A2" s="4"/>
        <tr r="B5" s="1"/>
        <tr r="H2" s="1"/>
      </tp>
      <tp>
        <v>56</v>
        <stp/>
        <stp>96674c5d-896b-44f7-8b37-e6c34ec587c4</stp>
        <tr r="C4" s="8"/>
        <tr r="A4" s="2"/>
      </tp>
      <tp>
        <v>635</v>
        <stp/>
        <stp>2c9c0943-c73b-4a39-83fe-e8ca50941dc2</stp>
        <tr r="A6" s="1"/>
      </tp>
      <tp>
        <v>442</v>
        <stp/>
        <stp>30de1fba-7399-446f-8d93-9e2910a82c7f</stp>
        <tr r="G4" s="8"/>
      </tp>
      <tp>
        <v>18</v>
        <stp/>
        <stp>d551bbc6-3cc7-4c63-a416-cda378a8333e</stp>
        <tr r="I9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11</xdr:row>
          <xdr:rowOff>85725</xdr:rowOff>
        </xdr:from>
        <xdr:to>
          <xdr:col>0</xdr:col>
          <xdr:colOff>1885950</xdr:colOff>
          <xdr:row>14</xdr:row>
          <xdr:rowOff>114300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Scene from</a:t>
              </a:r>
            </a:p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Current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15</xdr:row>
          <xdr:rowOff>85725</xdr:rowOff>
        </xdr:from>
        <xdr:to>
          <xdr:col>0</xdr:col>
          <xdr:colOff>1885950</xdr:colOff>
          <xdr:row>18</xdr:row>
          <xdr:rowOff>114300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0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Scene from</a:t>
              </a:r>
            </a:p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66675</xdr:rowOff>
        </xdr:from>
        <xdr:to>
          <xdr:col>1</xdr:col>
          <xdr:colOff>1781175</xdr:colOff>
          <xdr:row>1</xdr:row>
          <xdr:rowOff>114300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Selected Chaser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66675</xdr:rowOff>
        </xdr:from>
        <xdr:to>
          <xdr:col>2</xdr:col>
          <xdr:colOff>1771650</xdr:colOff>
          <xdr:row>1</xdr:row>
          <xdr:rowOff>114300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1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Selected Chaser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0</xdr:row>
          <xdr:rowOff>114300</xdr:rowOff>
        </xdr:from>
        <xdr:to>
          <xdr:col>3</xdr:col>
          <xdr:colOff>2228850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Activate Only Selected Scene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2</xdr:row>
          <xdr:rowOff>180975</xdr:rowOff>
        </xdr:from>
        <xdr:to>
          <xdr:col>3</xdr:col>
          <xdr:colOff>2228850</xdr:colOff>
          <xdr:row>4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Deactivate All Scenes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115764</xdr:colOff>
          <xdr:row>0</xdr:row>
          <xdr:rowOff>114300</xdr:rowOff>
        </xdr:from>
        <xdr:to>
          <xdr:col>13</xdr:col>
          <xdr:colOff>57150</xdr:colOff>
          <xdr:row>43</xdr:row>
          <xdr:rowOff>171450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hannels!$C$3:$G$54" spid="_x0000_s519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592639" y="114300"/>
              <a:ext cx="5427786" cy="82486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7</xdr:row>
          <xdr:rowOff>95250</xdr:rowOff>
        </xdr:from>
        <xdr:to>
          <xdr:col>0</xdr:col>
          <xdr:colOff>1057275</xdr:colOff>
          <xdr:row>8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mailto:*@+10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52E07-8412-47E6-B0C1-6ECFF4087244}">
  <sheetPr codeName="Sheet7"/>
  <dimension ref="A1:I56"/>
  <sheetViews>
    <sheetView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5" sqref="A5"/>
    </sheetView>
  </sheetViews>
  <sheetFormatPr defaultRowHeight="15" x14ac:dyDescent="0.25"/>
  <cols>
    <col min="1" max="1" width="29.7109375" customWidth="1"/>
    <col min="2" max="2" width="2.42578125" customWidth="1"/>
    <col min="3" max="3" width="24.85546875" bestFit="1" customWidth="1"/>
    <col min="4" max="4" width="33.28515625" bestFit="1" customWidth="1"/>
    <col min="5" max="5" width="14.140625" bestFit="1" customWidth="1"/>
    <col min="6" max="6" width="8.28515625" bestFit="1" customWidth="1"/>
    <col min="7" max="7" width="17.140625" customWidth="1"/>
    <col min="8" max="8" width="14.28515625" bestFit="1" customWidth="1"/>
    <col min="9" max="9" width="22.140625" style="3" bestFit="1" customWidth="1"/>
  </cols>
  <sheetData>
    <row r="1" spans="1:9" x14ac:dyDescent="0.25">
      <c r="A1" s="1" t="s">
        <v>15</v>
      </c>
      <c r="C1" s="1" t="s">
        <v>1</v>
      </c>
      <c r="G1" t="s">
        <v>7</v>
      </c>
      <c r="H1" s="2">
        <v>100</v>
      </c>
      <c r="I1" s="2" t="b">
        <v>1</v>
      </c>
    </row>
    <row r="2" spans="1:9" x14ac:dyDescent="0.25">
      <c r="E2" s="1"/>
    </row>
    <row r="3" spans="1:9" x14ac:dyDescent="0.25">
      <c r="A3" s="1" t="s">
        <v>16</v>
      </c>
      <c r="C3" s="1" t="s">
        <v>9</v>
      </c>
      <c r="D3" s="1" t="s">
        <v>10</v>
      </c>
      <c r="E3" s="1" t="s">
        <v>8</v>
      </c>
      <c r="F3" s="1" t="s">
        <v>3</v>
      </c>
      <c r="G3" s="1" t="s">
        <v>5</v>
      </c>
      <c r="H3" s="1" t="s">
        <v>6</v>
      </c>
      <c r="I3" s="4" t="s">
        <v>4</v>
      </c>
    </row>
    <row r="4" spans="1:9" x14ac:dyDescent="0.25">
      <c r="A4" s="7" t="s">
        <v>110</v>
      </c>
      <c r="C4" t="str" cm="1">
        <f t="array" ref="C4:F56">_xll.AuLiComGetFixtureChannelInfos()</f>
        <v>Frontlicht 1 links</v>
      </c>
      <c r="D4" t="str">
        <v>CantataPc</v>
      </c>
      <c r="E4" t="str">
        <v>Intensity</v>
      </c>
      <c r="F4">
        <v>1</v>
      </c>
      <c r="G4" cm="1">
        <f t="array" aca="1" ref="G4:G56" ca="1">_xll.AuLiComGetChannelValues(OFFSET($F$4,0,0,_xll.AuLiComGetFixtureChannelCountTotal(),1))</f>
        <v>0</v>
      </c>
      <c r="H4" s="2">
        <v>0</v>
      </c>
      <c r="I4" s="3" cm="1">
        <f t="array" ref="I4">IF(ChannelManualMode,
IF(ISNUMBER(H4),
    _xll.AuLiComSetChannelValue(F4,H4*ChannelMaster%),
    _xll.AuLiComSetChannelColor(F4,H4)),
"")</f>
        <v>1</v>
      </c>
    </row>
    <row r="5" spans="1:9" x14ac:dyDescent="0.25">
      <c r="A5" s="24"/>
      <c r="C5" t="str">
        <v>Cantata Profiler</v>
      </c>
      <c r="D5" t="str">
        <v>CantataProfiler</v>
      </c>
      <c r="E5" t="str">
        <v>Intensity</v>
      </c>
      <c r="F5">
        <v>2</v>
      </c>
      <c r="G5">
        <f ca="1"/>
        <v>0</v>
      </c>
      <c r="H5" s="2">
        <v>0</v>
      </c>
      <c r="I5" s="3" cm="1">
        <f t="array" ref="I5">IF(ChannelManualMode,
IF(ISNUMBER(H5),
    _xll.AuLiComSetChannelValue(F5,H5*ChannelMaster%),
    _xll.AuLiComSetChannelColor(F5,H5)),
"")</f>
        <v>2</v>
      </c>
    </row>
    <row r="6" spans="1:9" x14ac:dyDescent="0.25">
      <c r="A6" s="1" t="s">
        <v>17</v>
      </c>
      <c r="C6" t="str">
        <v>Frontlicht 1 rechts</v>
      </c>
      <c r="D6" t="str">
        <v>GenericLamp</v>
      </c>
      <c r="E6" t="str">
        <v>Intensity</v>
      </c>
      <c r="F6">
        <v>3</v>
      </c>
      <c r="G6">
        <f ca="1"/>
        <v>0</v>
      </c>
      <c r="H6" s="2">
        <v>0</v>
      </c>
      <c r="I6" s="3" cm="1">
        <f t="array" ref="I6">IF(ChannelManualMode,
IF(ISNUMBER(H6),
    _xll.AuLiComSetChannelValue(F6,H6*ChannelMaster%),
    _xll.AuLiComSetChannelColor(F6,H6)),
"")</f>
        <v>3</v>
      </c>
    </row>
    <row r="7" spans="1:9" x14ac:dyDescent="0.25">
      <c r="A7" s="6" t="str" cm="1">
        <f t="array" ref="A7">IF(A4="","no command",_xll.AuLiComExecuteCommand(DmxVersion,A4))</f>
        <v>DONE.</v>
      </c>
      <c r="C7" t="str">
        <v>Frontlicht Band 2</v>
      </c>
      <c r="D7" t="str">
        <v>Par64</v>
      </c>
      <c r="E7" t="str">
        <v>Intensity</v>
      </c>
      <c r="F7">
        <v>4</v>
      </c>
      <c r="G7">
        <f ca="1"/>
        <v>0</v>
      </c>
      <c r="H7" s="2">
        <v>0</v>
      </c>
      <c r="I7" s="3" cm="1">
        <f t="array" ref="I7">IF(ChannelManualMode,
IF(ISNUMBER(H7),
    _xll.AuLiComSetChannelValue(F7,H7*ChannelMaster%),
    _xll.AuLiComSetChannelColor(F7,H7)),
"")</f>
        <v>4</v>
      </c>
    </row>
    <row r="8" spans="1:9" x14ac:dyDescent="0.25">
      <c r="A8" s="6"/>
      <c r="C8" t="str">
        <v>Gegenlicht</v>
      </c>
      <c r="D8" t="str">
        <v>Par56Silver</v>
      </c>
      <c r="E8" t="str">
        <v>Intensity</v>
      </c>
      <c r="F8">
        <v>5</v>
      </c>
      <c r="G8">
        <f ca="1"/>
        <v>0</v>
      </c>
      <c r="H8" s="2">
        <v>0</v>
      </c>
      <c r="I8" s="3" cm="1">
        <f t="array" ref="I8">IF(ChannelManualMode,
IF(ISNUMBER(H8),
    _xll.AuLiComSetChannelValue(F8,H8*ChannelMaster%),
    _xll.AuLiComSetChannelColor(F8,H8)),
"")</f>
        <v>5</v>
      </c>
    </row>
    <row r="9" spans="1:9" x14ac:dyDescent="0.25">
      <c r="A9" s="6"/>
      <c r="C9" t="str">
        <v>Profiler links</v>
      </c>
      <c r="D9" t="str">
        <v>Profiler</v>
      </c>
      <c r="E9" t="str">
        <v>Intensity</v>
      </c>
      <c r="F9">
        <v>6</v>
      </c>
      <c r="G9">
        <f ca="1"/>
        <v>0</v>
      </c>
      <c r="H9" s="2">
        <v>0</v>
      </c>
      <c r="I9" s="3" cm="1">
        <f t="array" ref="I9">IF(ChannelManualMode,
IF(ISNUMBER(H9),
    _xll.AuLiComSetChannelValue(F9,H9*ChannelMaster%),
    _xll.AuLiComSetChannelColor(F9,H9)),
"")</f>
        <v>6</v>
      </c>
    </row>
    <row r="10" spans="1:9" x14ac:dyDescent="0.25">
      <c r="A10" s="6"/>
      <c r="C10" t="str">
        <v>Profiler rechts</v>
      </c>
      <c r="D10" t="str">
        <v>Profiler</v>
      </c>
      <c r="E10" t="str">
        <v>Intensity</v>
      </c>
      <c r="F10">
        <v>7</v>
      </c>
      <c r="G10">
        <f ca="1"/>
        <v>0</v>
      </c>
      <c r="H10" s="2">
        <v>0</v>
      </c>
      <c r="I10" s="3" cm="1">
        <f t="array" ref="I10">IF(ChannelManualMode,
IF(ISNUMBER(H10),
    _xll.AuLiComSetChannelValue(F10,H10*ChannelMaster%),
    _xll.AuLiComSetChannelColor(F10,H10)),
"")</f>
        <v>7</v>
      </c>
    </row>
    <row r="11" spans="1:9" x14ac:dyDescent="0.25">
      <c r="A11" s="6"/>
      <c r="C11" t="str">
        <v>Frontlicht 2 links</v>
      </c>
      <c r="D11" t="str">
        <v>ElationKl4Fresnel_1Ch</v>
      </c>
      <c r="E11" t="str">
        <v>Intensity</v>
      </c>
      <c r="F11">
        <v>8</v>
      </c>
      <c r="G11">
        <f ca="1"/>
        <v>0</v>
      </c>
      <c r="H11" s="2">
        <v>0</v>
      </c>
      <c r="I11" s="3" cm="1">
        <f t="array" ref="I11">IF(ChannelManualMode,
IF(ISNUMBER(H11),
    _xll.AuLiComSetChannelValue(F11,H11*ChannelMaster%),
    _xll.AuLiComSetChannelColor(F11,H11)),
"")</f>
        <v>8</v>
      </c>
    </row>
    <row r="12" spans="1:9" x14ac:dyDescent="0.25">
      <c r="A12" s="6"/>
      <c r="C12" t="str">
        <v>Frontlicht 2 links-mitte</v>
      </c>
      <c r="D12" t="str">
        <v>ElationKl4Fresnel_1Ch</v>
      </c>
      <c r="E12" t="str">
        <v>Intensity</v>
      </c>
      <c r="F12">
        <v>9</v>
      </c>
      <c r="G12">
        <f ca="1"/>
        <v>0</v>
      </c>
      <c r="H12" s="2">
        <v>0</v>
      </c>
      <c r="I12" s="3" cm="1">
        <f t="array" ref="I12">IF(ChannelManualMode,
IF(ISNUMBER(H12),
    _xll.AuLiComSetChannelValue(F12,H12*ChannelMaster%),
    _xll.AuLiComSetChannelColor(F12,H12)),
"")</f>
        <v>9</v>
      </c>
    </row>
    <row r="13" spans="1:9" x14ac:dyDescent="0.25">
      <c r="A13" s="6"/>
      <c r="C13" t="str">
        <v>Frontlicht 2 mitte</v>
      </c>
      <c r="D13" t="str">
        <v>ElationKl4Fresnel_1Ch</v>
      </c>
      <c r="E13" t="str">
        <v>Intensity</v>
      </c>
      <c r="F13">
        <v>10</v>
      </c>
      <c r="G13">
        <f ca="1"/>
        <v>0</v>
      </c>
      <c r="H13" s="2">
        <v>0</v>
      </c>
      <c r="I13" s="3" cm="1">
        <f t="array" ref="I13">IF(ChannelManualMode,
IF(ISNUMBER(H13),
    _xll.AuLiComSetChannelValue(F13,H13*ChannelMaster%),
    _xll.AuLiComSetChannelColor(F13,H13)),
"")</f>
        <v>10</v>
      </c>
    </row>
    <row r="14" spans="1:9" x14ac:dyDescent="0.25">
      <c r="A14" s="6"/>
      <c r="C14" t="str">
        <v>Frontlicht 2 rechts-mitte</v>
      </c>
      <c r="D14" t="str">
        <v>ElationKl4Fresnel_1Ch</v>
      </c>
      <c r="E14" t="str">
        <v>Intensity</v>
      </c>
      <c r="F14">
        <v>11</v>
      </c>
      <c r="G14">
        <f ca="1"/>
        <v>0</v>
      </c>
      <c r="H14" s="2">
        <v>0</v>
      </c>
      <c r="I14" s="3" cm="1">
        <f t="array" ref="I14">IF(ChannelManualMode,
IF(ISNUMBER(H14),
    _xll.AuLiComSetChannelValue(F14,H14*ChannelMaster%),
    _xll.AuLiComSetChannelColor(F14,H14)),
"")</f>
        <v>11</v>
      </c>
    </row>
    <row r="15" spans="1:9" x14ac:dyDescent="0.25">
      <c r="A15" s="6"/>
      <c r="C15" t="str">
        <v>Frontlicht 2 rechts</v>
      </c>
      <c r="D15" t="str">
        <v>ElationKl4Fresnel_1Ch</v>
      </c>
      <c r="E15" t="str">
        <v>Intensity</v>
      </c>
      <c r="F15">
        <v>12</v>
      </c>
      <c r="G15">
        <f ca="1"/>
        <v>0</v>
      </c>
      <c r="H15" s="2">
        <v>0</v>
      </c>
      <c r="I15" s="3" cm="1">
        <f t="array" ref="I15">IF(ChannelManualMode,
IF(ISNUMBER(H15),
    _xll.AuLiComSetChannelValue(F15,H15*ChannelMaster%),
    _xll.AuLiComSetChannelColor(F15,H15)),
"")</f>
        <v>12</v>
      </c>
    </row>
    <row r="16" spans="1:9" x14ac:dyDescent="0.25">
      <c r="A16" s="6"/>
      <c r="C16" t="str">
        <v>Seitenlicht 1 links</v>
      </c>
      <c r="D16" t="str">
        <v>CantataPc</v>
      </c>
      <c r="E16" t="str">
        <v>Intensity</v>
      </c>
      <c r="F16">
        <v>13</v>
      </c>
      <c r="G16">
        <f ca="1"/>
        <v>0</v>
      </c>
      <c r="H16" s="2">
        <v>0</v>
      </c>
      <c r="I16" s="3" cm="1">
        <f t="array" ref="I16">IF(ChannelManualMode,
IF(ISNUMBER(H16),
    _xll.AuLiComSetChannelValue(F16,H16*ChannelMaster%),
    _xll.AuLiComSetChannelColor(F16,H16)),
"")</f>
        <v>13</v>
      </c>
    </row>
    <row r="17" spans="1:9" x14ac:dyDescent="0.25">
      <c r="A17" s="6"/>
      <c r="C17" t="str">
        <v>Gegenlicht Traverse links</v>
      </c>
      <c r="D17" t="str">
        <v>Par64</v>
      </c>
      <c r="E17" t="str">
        <v>Intensity</v>
      </c>
      <c r="F17">
        <v>14</v>
      </c>
      <c r="G17">
        <f ca="1"/>
        <v>0</v>
      </c>
      <c r="H17" s="2">
        <v>0</v>
      </c>
      <c r="I17" s="3" cm="1">
        <f t="array" ref="I17">IF(ChannelManualMode,
IF(ISNUMBER(H17),
    _xll.AuLiComSetChannelValue(F17,H17*ChannelMaster%),
    _xll.AuLiComSetChannelColor(F17,H17)),
"")</f>
        <v>14</v>
      </c>
    </row>
    <row r="18" spans="1:9" x14ac:dyDescent="0.25">
      <c r="A18" s="6"/>
      <c r="C18" t="str">
        <v>Seitenlicht 2 links</v>
      </c>
      <c r="D18" t="str">
        <v>CantataPc</v>
      </c>
      <c r="E18" t="str">
        <v>Intensity</v>
      </c>
      <c r="F18">
        <v>15</v>
      </c>
      <c r="G18">
        <f ca="1"/>
        <v>0</v>
      </c>
      <c r="H18" s="2">
        <v>0</v>
      </c>
      <c r="I18" s="3" cm="1">
        <f t="array" ref="I18">IF(ChannelManualMode,
IF(ISNUMBER(H18),
    _xll.AuLiComSetChannelValue(F18,H18*ChannelMaster%),
    _xll.AuLiComSetChannelColor(F18,H18)),
"")</f>
        <v>15</v>
      </c>
    </row>
    <row r="19" spans="1:9" x14ac:dyDescent="0.25">
      <c r="A19" s="6"/>
      <c r="C19" t="str">
        <v>Spot Rohr links</v>
      </c>
      <c r="D19" t="str">
        <v>Par64</v>
      </c>
      <c r="E19" t="str">
        <v>Intensity</v>
      </c>
      <c r="F19">
        <v>16</v>
      </c>
      <c r="G19">
        <f ca="1"/>
        <v>0</v>
      </c>
      <c r="H19" s="2">
        <v>0</v>
      </c>
      <c r="I19" s="3" cm="1">
        <f t="array" ref="I19">IF(ChannelManualMode,
IF(ISNUMBER(H19),
    _xll.AuLiComSetChannelValue(F19,H19*ChannelMaster%),
    _xll.AuLiComSetChannelColor(F19,H19)),
"")</f>
        <v>16</v>
      </c>
    </row>
    <row r="20" spans="1:9" x14ac:dyDescent="0.25">
      <c r="A20" s="6"/>
      <c r="C20" t="str">
        <v>Frontlicht 3 links</v>
      </c>
      <c r="D20" t="str">
        <v>AriaPc</v>
      </c>
      <c r="E20" t="str">
        <v>Intensity</v>
      </c>
      <c r="F20">
        <v>17</v>
      </c>
      <c r="G20">
        <f ca="1"/>
        <v>0</v>
      </c>
      <c r="H20" s="2">
        <v>0</v>
      </c>
      <c r="I20" s="3" cm="1">
        <f t="array" ref="I20">IF(ChannelManualMode,
IF(ISNUMBER(H20),
    _xll.AuLiComSetChannelValue(F20,H20*ChannelMaster%),
    _xll.AuLiComSetChannelColor(F20,H20)),
"")</f>
        <v>17</v>
      </c>
    </row>
    <row r="21" spans="1:9" x14ac:dyDescent="0.25">
      <c r="A21" s="6"/>
      <c r="C21" t="str">
        <v>Gegenlicht vorne 2x</v>
      </c>
      <c r="D21" t="str">
        <v>AriaPc</v>
      </c>
      <c r="E21" t="str">
        <v>Intensity</v>
      </c>
      <c r="F21">
        <v>18</v>
      </c>
      <c r="G21">
        <f ca="1"/>
        <v>0</v>
      </c>
      <c r="H21" s="2">
        <v>0</v>
      </c>
      <c r="I21" s="3" cm="1">
        <f t="array" ref="I21">IF(ChannelManualMode,
IF(ISNUMBER(H21),
    _xll.AuLiComSetChannelValue(F21,H21*ChannelMaster%),
    _xll.AuLiComSetChannelColor(F21,H21)),
"")</f>
        <v>18</v>
      </c>
    </row>
    <row r="22" spans="1:9" x14ac:dyDescent="0.25">
      <c r="A22" s="6"/>
      <c r="C22" t="str">
        <v>Frontlicht 3 mitte</v>
      </c>
      <c r="D22" t="str">
        <v>AriaPc</v>
      </c>
      <c r="E22" t="str">
        <v>Intensity</v>
      </c>
      <c r="F22">
        <v>19</v>
      </c>
      <c r="G22">
        <f ca="1"/>
        <v>0</v>
      </c>
      <c r="H22" s="2">
        <v>0</v>
      </c>
      <c r="I22" s="3" cm="1">
        <f t="array" ref="I22">IF(ChannelManualMode,
IF(ISNUMBER(H22),
    _xll.AuLiComSetChannelValue(F22,H22*ChannelMaster%),
    _xll.AuLiComSetChannelColor(F22,H22)),
"")</f>
        <v>19</v>
      </c>
    </row>
    <row r="23" spans="1:9" x14ac:dyDescent="0.25">
      <c r="A23" s="6"/>
      <c r="C23" t="str">
        <v>Spot Rohr rechts</v>
      </c>
      <c r="D23" t="str">
        <v>Par64</v>
      </c>
      <c r="E23" t="str">
        <v>Intensity</v>
      </c>
      <c r="F23">
        <v>20</v>
      </c>
      <c r="G23">
        <f ca="1"/>
        <v>0</v>
      </c>
      <c r="H23" s="2">
        <v>0</v>
      </c>
      <c r="I23" s="3" cm="1">
        <f t="array" ref="I23">IF(ChannelManualMode,
IF(ISNUMBER(H23),
    _xll.AuLiComSetChannelValue(F23,H23*ChannelMaster%),
    _xll.AuLiComSetChannelColor(F23,H23)),
"")</f>
        <v>20</v>
      </c>
    </row>
    <row r="24" spans="1:9" x14ac:dyDescent="0.25">
      <c r="A24" s="6"/>
      <c r="C24" t="str">
        <v>Frontlicht 3 rechts</v>
      </c>
      <c r="D24" t="str">
        <v>AriaPc</v>
      </c>
      <c r="E24" t="str">
        <v>Intensity</v>
      </c>
      <c r="F24">
        <v>21</v>
      </c>
      <c r="G24">
        <f ca="1"/>
        <v>0</v>
      </c>
      <c r="H24" s="2">
        <v>0</v>
      </c>
      <c r="I24" s="3" cm="1">
        <f t="array" ref="I24">IF(ChannelManualMode,
IF(ISNUMBER(H24),
    _xll.AuLiComSetChannelValue(F24,H24*ChannelMaster%),
    _xll.AuLiComSetChannelColor(F24,H24)),
"")</f>
        <v>21</v>
      </c>
    </row>
    <row r="25" spans="1:9" x14ac:dyDescent="0.25">
      <c r="A25" s="6"/>
      <c r="C25" t="str">
        <v>Seitenlicht 2 rechts</v>
      </c>
      <c r="D25" t="str">
        <v>CantataPc</v>
      </c>
      <c r="E25" t="str">
        <v>Intensity</v>
      </c>
      <c r="F25">
        <v>22</v>
      </c>
      <c r="G25">
        <f ca="1"/>
        <v>0</v>
      </c>
      <c r="H25" s="2">
        <v>0</v>
      </c>
      <c r="I25" s="3" cm="1">
        <f t="array" ref="I25">IF(ChannelManualMode,
IF(ISNUMBER(H25),
    _xll.AuLiComSetChannelValue(F25,H25*ChannelMaster%),
    _xll.AuLiComSetChannelColor(F25,H25)),
"")</f>
        <v>22</v>
      </c>
    </row>
    <row r="26" spans="1:9" x14ac:dyDescent="0.25">
      <c r="A26" s="6"/>
      <c r="C26" t="str">
        <v>Gegenlicht Traverse rechts</v>
      </c>
      <c r="D26" t="str">
        <v>Par64</v>
      </c>
      <c r="E26" t="str">
        <v>Intensity</v>
      </c>
      <c r="F26">
        <v>23</v>
      </c>
      <c r="G26">
        <f ca="1"/>
        <v>0</v>
      </c>
      <c r="H26" s="2">
        <v>0</v>
      </c>
      <c r="I26" s="3" cm="1">
        <f t="array" ref="I26">IF(ChannelManualMode,
IF(ISNUMBER(H26),
    _xll.AuLiComSetChannelValue(F26,H26*ChannelMaster%),
    _xll.AuLiComSetChannelColor(F26,H26)),
"")</f>
        <v>23</v>
      </c>
    </row>
    <row r="27" spans="1:9" x14ac:dyDescent="0.25">
      <c r="A27" s="6"/>
      <c r="C27" t="str">
        <v>Seitenlicht 1 rechts</v>
      </c>
      <c r="D27" t="str">
        <v>CantataPc</v>
      </c>
      <c r="E27" t="str">
        <v>Intensity</v>
      </c>
      <c r="F27">
        <v>24</v>
      </c>
      <c r="G27">
        <f ca="1"/>
        <v>0</v>
      </c>
      <c r="H27" s="2">
        <v>0</v>
      </c>
      <c r="I27" s="3" cm="1">
        <f t="array" ref="I27">IF(ChannelManualMode,
IF(ISNUMBER(H27),
    _xll.AuLiComSetChannelValue(F27,H27*ChannelMaster%),
    _xll.AuLiComSetChannelColor(F27,H27)),
"")</f>
        <v>24</v>
      </c>
    </row>
    <row r="28" spans="1:9" x14ac:dyDescent="0.25">
      <c r="A28" s="6"/>
      <c r="C28" t="str">
        <v>LED Fluter</v>
      </c>
      <c r="D28" t="str">
        <v>CameoThunderWash600Rgbw_7Ch2</v>
      </c>
      <c r="E28" t="str">
        <v>Intensity</v>
      </c>
      <c r="F28">
        <v>25</v>
      </c>
      <c r="G28">
        <f ca="1"/>
        <v>100</v>
      </c>
      <c r="H28" s="2">
        <v>100</v>
      </c>
      <c r="I28" s="3" cm="1">
        <f t="array" ref="I28">IF(ChannelManualMode,
IF(ISNUMBER(H28),
    _xll.AuLiComSetChannelValue(F28,H28*ChannelMaster%),
    _xll.AuLiComSetChannelColor(F28,H28)),
"")</f>
        <v>25</v>
      </c>
    </row>
    <row r="29" spans="1:9" x14ac:dyDescent="0.25">
      <c r="A29" s="6"/>
      <c r="C29" t="str">
        <v>LED Fluter</v>
      </c>
      <c r="D29" t="str">
        <v>CameoThunderWash600Rgbw_7Ch2</v>
      </c>
      <c r="E29" t="str">
        <v>StrobeSpeed</v>
      </c>
      <c r="F29">
        <v>26</v>
      </c>
      <c r="G29">
        <f ca="1"/>
        <v>0</v>
      </c>
      <c r="H29" s="2">
        <v>0</v>
      </c>
      <c r="I29" s="3" cm="1">
        <f t="array" ref="I29">IF(ChannelManualMode,
IF(ISNUMBER(H29),
    _xll.AuLiComSetChannelValue(F29,H29*ChannelMaster%),
    _xll.AuLiComSetChannelColor(F29,H29)),
"")</f>
        <v>26</v>
      </c>
    </row>
    <row r="30" spans="1:9" x14ac:dyDescent="0.25">
      <c r="A30" s="6"/>
      <c r="C30" t="str">
        <v>LED Fluter</v>
      </c>
      <c r="D30" t="str">
        <v>CameoThunderWash600Rgbw_7Ch2</v>
      </c>
      <c r="E30" t="str">
        <v>FlashDuration</v>
      </c>
      <c r="F30">
        <v>27</v>
      </c>
      <c r="G30">
        <f ca="1"/>
        <v>0</v>
      </c>
      <c r="H30" s="2">
        <v>0</v>
      </c>
      <c r="I30" s="3" cm="1">
        <f t="array" ref="I30">IF(ChannelManualMode,
IF(ISNUMBER(H30),
    _xll.AuLiComSetChannelValue(F30,H30*ChannelMaster%),
    _xll.AuLiComSetChannelColor(F30,H30)),
"")</f>
        <v>27</v>
      </c>
    </row>
    <row r="31" spans="1:9" x14ac:dyDescent="0.25">
      <c r="A31" s="6"/>
      <c r="C31" t="str">
        <v>LED Fluter</v>
      </c>
      <c r="D31" t="str">
        <v>CameoThunderWash600Rgbw_7Ch2</v>
      </c>
      <c r="E31" t="str">
        <v>Red</v>
      </c>
      <c r="F31">
        <v>28</v>
      </c>
      <c r="G31">
        <f ca="1"/>
        <v>0</v>
      </c>
      <c r="H31" s="2">
        <v>0</v>
      </c>
      <c r="I31" s="3" cm="1">
        <f t="array" ref="I31">IF(ChannelManualMode,
IF(ISNUMBER(H31),
    _xll.AuLiComSetChannelValue(F31,H31*ChannelMaster%),
    _xll.AuLiComSetChannelColor(F31,H31)),
"")</f>
        <v>28</v>
      </c>
    </row>
    <row r="32" spans="1:9" x14ac:dyDescent="0.25">
      <c r="A32" s="6"/>
      <c r="C32" t="str">
        <v>LED Fluter</v>
      </c>
      <c r="D32" t="str">
        <v>CameoThunderWash600Rgbw_7Ch2</v>
      </c>
      <c r="E32" t="str">
        <v>Green</v>
      </c>
      <c r="F32">
        <v>29</v>
      </c>
      <c r="G32">
        <f ca="1"/>
        <v>0</v>
      </c>
      <c r="H32" s="2">
        <v>0</v>
      </c>
      <c r="I32" s="3" cm="1">
        <f t="array" ref="I32">IF(ChannelManualMode,
IF(ISNUMBER(H32),
    _xll.AuLiComSetChannelValue(F32,H32*ChannelMaster%),
    _xll.AuLiComSetChannelColor(F32,H32)),
"")</f>
        <v>29</v>
      </c>
    </row>
    <row r="33" spans="1:9" x14ac:dyDescent="0.25">
      <c r="A33" s="6"/>
      <c r="C33" t="str">
        <v>LED Fluter</v>
      </c>
      <c r="D33" t="str">
        <v>CameoThunderWash600Rgbw_7Ch2</v>
      </c>
      <c r="E33" t="str">
        <v>Blue</v>
      </c>
      <c r="F33">
        <v>30</v>
      </c>
      <c r="G33">
        <f ca="1"/>
        <v>0</v>
      </c>
      <c r="H33" s="2">
        <v>0</v>
      </c>
      <c r="I33" s="3" cm="1">
        <f t="array" ref="I33">IF(ChannelManualMode,
IF(ISNUMBER(H33),
    _xll.AuLiComSetChannelValue(F33,H33*ChannelMaster%),
    _xll.AuLiComSetChannelColor(F33,H33)),
"")</f>
        <v>30</v>
      </c>
    </row>
    <row r="34" spans="1:9" x14ac:dyDescent="0.25">
      <c r="A34" s="6"/>
      <c r="C34" t="str">
        <v>LED Fluter</v>
      </c>
      <c r="D34" t="str">
        <v>CameoThunderWash600Rgbw_7Ch2</v>
      </c>
      <c r="E34" t="str">
        <v>White</v>
      </c>
      <c r="F34">
        <v>31</v>
      </c>
      <c r="G34">
        <f ca="1"/>
        <v>0</v>
      </c>
      <c r="H34" s="2">
        <v>0</v>
      </c>
      <c r="I34" s="3" cm="1">
        <f t="array" ref="I34">IF(ChannelManualMode,
IF(ISNUMBER(H34),
    _xll.AuLiComSetChannelValue(F34,H34*ChannelMaster%),
    _xll.AuLiComSetChannelColor(F34,H34)),
"")</f>
        <v>31</v>
      </c>
    </row>
    <row r="35" spans="1:9" x14ac:dyDescent="0.25">
      <c r="A35" s="6"/>
      <c r="C35" t="str">
        <v>Aulalicht</v>
      </c>
      <c r="D35" t="str">
        <v>Quartz</v>
      </c>
      <c r="E35" t="str">
        <v>Intensity</v>
      </c>
      <c r="F35">
        <v>32</v>
      </c>
      <c r="G35">
        <f ca="1"/>
        <v>0</v>
      </c>
      <c r="H35" s="2">
        <v>0</v>
      </c>
      <c r="I35" s="3" cm="1">
        <f t="array" ref="I35">IF(ChannelManualMode,
IF(ISNUMBER(H35),
    _xll.AuLiComSetChannelValue(F35,H35*ChannelMaster%),
    _xll.AuLiComSetChannelColor(F35,H35)),
"")</f>
        <v>32</v>
      </c>
    </row>
    <row r="36" spans="1:9" x14ac:dyDescent="0.25">
      <c r="A36" s="6"/>
      <c r="C36" t="str">
        <v>Seitenlicht 3 links</v>
      </c>
      <c r="D36" t="str">
        <v>CantataPc</v>
      </c>
      <c r="E36" t="str">
        <v>Intensity</v>
      </c>
      <c r="F36">
        <v>34</v>
      </c>
      <c r="G36">
        <f ca="1"/>
        <v>0</v>
      </c>
      <c r="H36" s="2">
        <v>0</v>
      </c>
      <c r="I36" s="3" cm="1">
        <f t="array" ref="I36">IF(ChannelManualMode,
IF(ISNUMBER(H36),
    _xll.AuLiComSetChannelValue(F36,H36*ChannelMaster%),
    _xll.AuLiComSetChannelColor(F36,H36)),
"")</f>
        <v>34</v>
      </c>
    </row>
    <row r="37" spans="1:9" x14ac:dyDescent="0.25">
      <c r="A37" s="6"/>
      <c r="C37" t="str">
        <v>Seitenlicht 3 rechts</v>
      </c>
      <c r="D37" t="str">
        <v>CantataPc</v>
      </c>
      <c r="E37" t="str">
        <v>Intensity</v>
      </c>
      <c r="F37">
        <v>35</v>
      </c>
      <c r="G37">
        <f ca="1"/>
        <v>0</v>
      </c>
      <c r="H37" s="2">
        <v>0</v>
      </c>
      <c r="I37" s="3" cm="1">
        <f t="array" ref="I37">IF(ChannelManualMode,
IF(ISNUMBER(H37),
    _xll.AuLiComSetChannelValue(F37,H37*ChannelMaster%),
    _xll.AuLiComSetChannelColor(F37,H37)),
"")</f>
        <v>35</v>
      </c>
    </row>
    <row r="38" spans="1:9" x14ac:dyDescent="0.25">
      <c r="A38" s="6"/>
      <c r="C38" t="str">
        <v>Seitenlicht 4 links</v>
      </c>
      <c r="D38" t="str">
        <v>CantataPc</v>
      </c>
      <c r="E38" t="str">
        <v>Intensity</v>
      </c>
      <c r="F38">
        <v>36</v>
      </c>
      <c r="G38">
        <f ca="1"/>
        <v>0</v>
      </c>
      <c r="H38" s="2">
        <v>0</v>
      </c>
      <c r="I38" s="3" cm="1">
        <f t="array" ref="I38">IF(ChannelManualMode,
IF(ISNUMBER(H38),
    _xll.AuLiComSetChannelValue(F38,H38*ChannelMaster%),
    _xll.AuLiComSetChannelColor(F38,H38)),
"")</f>
        <v>36</v>
      </c>
    </row>
    <row r="39" spans="1:9" x14ac:dyDescent="0.25">
      <c r="A39" s="6"/>
      <c r="C39" t="str">
        <v>Seitenlicht 4 rechts</v>
      </c>
      <c r="D39" t="str">
        <v>CantataPc</v>
      </c>
      <c r="E39" t="str">
        <v>Intensity</v>
      </c>
      <c r="F39">
        <v>37</v>
      </c>
      <c r="G39">
        <f ca="1"/>
        <v>0</v>
      </c>
      <c r="H39" s="2">
        <v>0</v>
      </c>
      <c r="I39" s="3" cm="1">
        <f t="array" ref="I39">IF(ChannelManualMode,
IF(ISNUMBER(H39),
    _xll.AuLiComSetChannelValue(F39,H39*ChannelMaster%),
    _xll.AuLiComSetChannelColor(F39,H39)),
"")</f>
        <v>37</v>
      </c>
    </row>
    <row r="40" spans="1:9" x14ac:dyDescent="0.25">
      <c r="A40" s="6"/>
      <c r="C40" t="str">
        <v>Seitenlicht 5 links</v>
      </c>
      <c r="D40" t="str">
        <v>CantataPc</v>
      </c>
      <c r="E40" t="str">
        <v>Intensity</v>
      </c>
      <c r="F40">
        <v>38</v>
      </c>
      <c r="G40">
        <f ca="1"/>
        <v>0</v>
      </c>
      <c r="H40" s="2">
        <v>0</v>
      </c>
      <c r="I40" s="3" cm="1">
        <f t="array" ref="I40">IF(ChannelManualMode,
IF(ISNUMBER(H40),
    _xll.AuLiComSetChannelValue(F40,H40*ChannelMaster%),
    _xll.AuLiComSetChannelColor(F40,H40)),
"")</f>
        <v>38</v>
      </c>
    </row>
    <row r="41" spans="1:9" x14ac:dyDescent="0.25">
      <c r="A41" s="6"/>
      <c r="C41" t="str">
        <v>Seitenlicht 5 rechts</v>
      </c>
      <c r="D41" t="str">
        <v>CantataPc</v>
      </c>
      <c r="E41" t="str">
        <v>Intensity</v>
      </c>
      <c r="F41">
        <v>39</v>
      </c>
      <c r="G41">
        <f ca="1"/>
        <v>0</v>
      </c>
      <c r="H41" s="2">
        <v>0</v>
      </c>
      <c r="I41" s="3" cm="1">
        <f t="array" ref="I41">IF(ChannelManualMode,
IF(ISNUMBER(H41),
    _xll.AuLiComSetChannelValue(F41,H41*ChannelMaster%),
    _xll.AuLiComSetChannelColor(F41,H41)),
"")</f>
        <v>39</v>
      </c>
    </row>
    <row r="42" spans="1:9" x14ac:dyDescent="0.25">
      <c r="A42" s="6"/>
      <c r="C42" t="str">
        <v>Bar</v>
      </c>
      <c r="D42" t="str">
        <v>CameoLedBar_12Ch</v>
      </c>
      <c r="E42" t="str">
        <v>Ignore1</v>
      </c>
      <c r="F42">
        <v>40</v>
      </c>
      <c r="G42">
        <f ca="1"/>
        <v>0</v>
      </c>
      <c r="H42" s="2">
        <v>0</v>
      </c>
      <c r="I42" s="3" cm="1">
        <f t="array" ref="I42">IF(ChannelManualMode,
IF(ISNUMBER(H42),
    _xll.AuLiComSetChannelValue(F42,H42*ChannelMaster%),
    _xll.AuLiComSetChannelColor(F42,H42)),
"")</f>
        <v>40</v>
      </c>
    </row>
    <row r="43" spans="1:9" x14ac:dyDescent="0.25">
      <c r="A43" s="6"/>
      <c r="C43" t="str">
        <v>Bar</v>
      </c>
      <c r="D43" t="str">
        <v>CameoLedBar_12Ch</v>
      </c>
      <c r="E43" t="str">
        <v>Ignore2</v>
      </c>
      <c r="F43">
        <v>41</v>
      </c>
      <c r="G43">
        <f ca="1"/>
        <v>0</v>
      </c>
      <c r="H43" s="2">
        <v>0</v>
      </c>
      <c r="I43" s="3" cm="1">
        <f t="array" ref="I43">IF(ChannelManualMode,
IF(ISNUMBER(H43),
    _xll.AuLiComSetChannelValue(F43,H43*ChannelMaster%),
    _xll.AuLiComSetChannelColor(F43,H43)),
"")</f>
        <v>41</v>
      </c>
    </row>
    <row r="44" spans="1:9" x14ac:dyDescent="0.25">
      <c r="A44" s="6"/>
      <c r="C44" t="str">
        <v>Bar</v>
      </c>
      <c r="D44" t="str">
        <v>CameoLedBar_12Ch</v>
      </c>
      <c r="E44" t="str">
        <v>Ignore3</v>
      </c>
      <c r="F44">
        <v>42</v>
      </c>
      <c r="G44">
        <f ca="1"/>
        <v>0</v>
      </c>
      <c r="H44" s="2">
        <v>0</v>
      </c>
      <c r="I44" s="3" cm="1">
        <f t="array" ref="I44">IF(ChannelManualMode,
IF(ISNUMBER(H44),
    _xll.AuLiComSetChannelValue(F44,H44*ChannelMaster%),
    _xll.AuLiComSetChannelColor(F44,H44)),
"")</f>
        <v>42</v>
      </c>
    </row>
    <row r="45" spans="1:9" x14ac:dyDescent="0.25">
      <c r="A45" s="6"/>
      <c r="C45" t="str">
        <v>Bar</v>
      </c>
      <c r="D45" t="str">
        <v>CameoLedBar_12Ch</v>
      </c>
      <c r="E45" t="str">
        <v>Red1</v>
      </c>
      <c r="F45">
        <v>43</v>
      </c>
      <c r="G45">
        <f ca="1"/>
        <v>0</v>
      </c>
      <c r="H45" s="2">
        <v>0</v>
      </c>
      <c r="I45" s="3" cm="1">
        <f t="array" ref="I45">IF(ChannelManualMode,
IF(ISNUMBER(H45),
    _xll.AuLiComSetChannelValue(F45,H45*ChannelMaster%),
    _xll.AuLiComSetChannelColor(F45,H45)),
"")</f>
        <v>43</v>
      </c>
    </row>
    <row r="46" spans="1:9" x14ac:dyDescent="0.25">
      <c r="A46" s="6"/>
      <c r="C46" t="str">
        <v>Bar</v>
      </c>
      <c r="D46" t="str">
        <v>CameoLedBar_12Ch</v>
      </c>
      <c r="E46" t="str">
        <v>Green1</v>
      </c>
      <c r="F46">
        <v>44</v>
      </c>
      <c r="G46">
        <f ca="1"/>
        <v>0</v>
      </c>
      <c r="H46" s="2">
        <v>0</v>
      </c>
      <c r="I46" s="3" cm="1">
        <f t="array" ref="I46">IF(ChannelManualMode,
IF(ISNUMBER(H46),
    _xll.AuLiComSetChannelValue(F46,H46*ChannelMaster%),
    _xll.AuLiComSetChannelColor(F46,H46)),
"")</f>
        <v>44</v>
      </c>
    </row>
    <row r="47" spans="1:9" x14ac:dyDescent="0.25">
      <c r="A47" s="6"/>
      <c r="C47" t="str">
        <v>Bar</v>
      </c>
      <c r="D47" t="str">
        <v>CameoLedBar_12Ch</v>
      </c>
      <c r="E47" t="str">
        <v>Blue1</v>
      </c>
      <c r="F47">
        <v>45</v>
      </c>
      <c r="G47">
        <f ca="1"/>
        <v>0</v>
      </c>
      <c r="H47" s="2">
        <v>0</v>
      </c>
      <c r="I47" s="3" cm="1">
        <f t="array" ref="I47">IF(ChannelManualMode,
IF(ISNUMBER(H47),
    _xll.AuLiComSetChannelValue(F47,H47*ChannelMaster%),
    _xll.AuLiComSetChannelColor(F47,H47)),
"")</f>
        <v>45</v>
      </c>
    </row>
    <row r="48" spans="1:9" x14ac:dyDescent="0.25">
      <c r="A48" s="6"/>
      <c r="C48" t="str">
        <v>Bar</v>
      </c>
      <c r="D48" t="str">
        <v>CameoLedBar_12Ch</v>
      </c>
      <c r="E48" t="str">
        <v>Red2</v>
      </c>
      <c r="F48">
        <v>46</v>
      </c>
      <c r="G48">
        <f ca="1"/>
        <v>0</v>
      </c>
      <c r="H48" s="2">
        <v>0</v>
      </c>
      <c r="I48" s="3" cm="1">
        <f t="array" ref="I48">IF(ChannelManualMode,
IF(ISNUMBER(H48),
    _xll.AuLiComSetChannelValue(F48,H48*ChannelMaster%),
    _xll.AuLiComSetChannelColor(F48,H48)),
"")</f>
        <v>46</v>
      </c>
    </row>
    <row r="49" spans="1:9" x14ac:dyDescent="0.25">
      <c r="A49" s="6"/>
      <c r="C49" t="str">
        <v>Bar</v>
      </c>
      <c r="D49" t="str">
        <v>CameoLedBar_12Ch</v>
      </c>
      <c r="E49" t="str">
        <v>Green2</v>
      </c>
      <c r="F49">
        <v>47</v>
      </c>
      <c r="G49">
        <f ca="1"/>
        <v>0</v>
      </c>
      <c r="H49" s="2">
        <v>0</v>
      </c>
      <c r="I49" s="3" cm="1">
        <f t="array" ref="I49">IF(ChannelManualMode,
IF(ISNUMBER(H49),
    _xll.AuLiComSetChannelValue(F49,H49*ChannelMaster%),
    _xll.AuLiComSetChannelColor(F49,H49)),
"")</f>
        <v>47</v>
      </c>
    </row>
    <row r="50" spans="1:9" x14ac:dyDescent="0.25">
      <c r="A50" s="6"/>
      <c r="C50" t="str">
        <v>Bar</v>
      </c>
      <c r="D50" t="str">
        <v>CameoLedBar_12Ch</v>
      </c>
      <c r="E50" t="str">
        <v>Blue2</v>
      </c>
      <c r="F50">
        <v>48</v>
      </c>
      <c r="G50">
        <f ca="1"/>
        <v>0</v>
      </c>
      <c r="H50" s="2">
        <v>0</v>
      </c>
      <c r="I50" s="3" cm="1">
        <f t="array" ref="I50">IF(ChannelManualMode,
IF(ISNUMBER(H50),
    _xll.AuLiComSetChannelValue(F50,H50*ChannelMaster%),
    _xll.AuLiComSetChannelColor(F50,H50)),
"")</f>
        <v>48</v>
      </c>
    </row>
    <row r="51" spans="1:9" x14ac:dyDescent="0.25">
      <c r="A51" s="6"/>
      <c r="C51" t="str">
        <v>Bar</v>
      </c>
      <c r="D51" t="str">
        <v>CameoLedBar_12Ch</v>
      </c>
      <c r="E51" t="str">
        <v>Red3</v>
      </c>
      <c r="F51">
        <v>49</v>
      </c>
      <c r="G51">
        <f ca="1"/>
        <v>0</v>
      </c>
      <c r="H51" s="2">
        <v>0</v>
      </c>
      <c r="I51" s="3" cm="1">
        <f t="array" ref="I51">IF(ChannelManualMode,
IF(ISNUMBER(H51),
    _xll.AuLiComSetChannelValue(F51,H51*ChannelMaster%),
    _xll.AuLiComSetChannelColor(F51,H51)),
"")</f>
        <v>49</v>
      </c>
    </row>
    <row r="52" spans="1:9" x14ac:dyDescent="0.25">
      <c r="A52" s="6"/>
      <c r="C52" t="str">
        <v>Bar</v>
      </c>
      <c r="D52" t="str">
        <v>CameoLedBar_12Ch</v>
      </c>
      <c r="E52" t="str">
        <v>Green3</v>
      </c>
      <c r="F52">
        <v>50</v>
      </c>
      <c r="G52">
        <f ca="1"/>
        <v>0</v>
      </c>
      <c r="H52" s="2">
        <v>0</v>
      </c>
      <c r="I52" s="3" cm="1">
        <f t="array" ref="I52">IF(ChannelManualMode,
IF(ISNUMBER(H52),
    _xll.AuLiComSetChannelValue(F52,H52*ChannelMaster%),
    _xll.AuLiComSetChannelColor(F52,H52)),
"")</f>
        <v>50</v>
      </c>
    </row>
    <row r="53" spans="1:9" x14ac:dyDescent="0.25">
      <c r="A53" s="6"/>
      <c r="C53" t="str">
        <v>Bar</v>
      </c>
      <c r="D53" t="str">
        <v>CameoLedBar_12Ch</v>
      </c>
      <c r="E53" t="str">
        <v>Blue3</v>
      </c>
      <c r="F53">
        <v>51</v>
      </c>
      <c r="G53">
        <f ca="1"/>
        <v>0</v>
      </c>
      <c r="H53" s="2">
        <v>0</v>
      </c>
      <c r="I53" s="3" cm="1">
        <f t="array" ref="I53">IF(ChannelManualMode,
IF(ISNUMBER(H53),
    _xll.AuLiComSetChannelValue(F53,H53*ChannelMaster%),
    _xll.AuLiComSetChannelColor(F53,H53)),
"")</f>
        <v>51</v>
      </c>
    </row>
    <row r="54" spans="1:9" x14ac:dyDescent="0.25">
      <c r="C54" t="str">
        <v>LED hinten rechts</v>
      </c>
      <c r="D54" t="str">
        <v>CameoPixBar650CPro_3Ch1</v>
      </c>
      <c r="E54" t="str">
        <v>Red</v>
      </c>
      <c r="F54">
        <v>52</v>
      </c>
      <c r="G54">
        <f ca="1"/>
        <v>0</v>
      </c>
      <c r="H54" s="2">
        <v>0</v>
      </c>
      <c r="I54" s="3" cm="1">
        <f t="array" ref="I54">IF(ChannelManualMode,
IF(ISNUMBER(H54),
    _xll.AuLiComSetChannelValue(F54,H54*ChannelMaster%),
    _xll.AuLiComSetChannelColor(F54,H54)),
"")</f>
        <v>52</v>
      </c>
    </row>
    <row r="55" spans="1:9" x14ac:dyDescent="0.25">
      <c r="C55" t="str">
        <v>LED hinten rechts</v>
      </c>
      <c r="D55" t="str">
        <v>CameoPixBar650CPro_3Ch1</v>
      </c>
      <c r="E55" t="str">
        <v>Green</v>
      </c>
      <c r="F55">
        <v>53</v>
      </c>
      <c r="G55">
        <f ca="1"/>
        <v>0</v>
      </c>
    </row>
    <row r="56" spans="1:9" x14ac:dyDescent="0.25">
      <c r="C56" t="str">
        <v>LED hinten rechts</v>
      </c>
      <c r="D56" t="str">
        <v>CameoPixBar650CPro_3Ch1</v>
      </c>
      <c r="E56" t="str">
        <v>Blue</v>
      </c>
      <c r="F56">
        <v>54</v>
      </c>
      <c r="G56">
        <f ca="1"/>
        <v>0</v>
      </c>
    </row>
  </sheetData>
  <conditionalFormatting sqref="E1:E1048576">
    <cfRule type="containsText" dxfId="15" priority="1" operator="containsText" text="Intensity">
      <formula>NOT(ISERROR(SEARCH("Intensity",E1)))</formula>
    </cfRule>
    <cfRule type="containsText" dxfId="14" priority="2" operator="containsText" text="Blue">
      <formula>NOT(ISERROR(SEARCH("Blue",E1)))</formula>
    </cfRule>
    <cfRule type="containsText" dxfId="13" priority="3" operator="containsText" text="Green">
      <formula>NOT(ISERROR(SEARCH("Green",E1)))</formula>
    </cfRule>
    <cfRule type="containsText" dxfId="12" priority="4" operator="containsText" text="Red">
      <formula>NOT(ISERROR(SEARCH("Red",E1)))</formula>
    </cfRule>
  </conditionalFormatting>
  <dataValidations count="1">
    <dataValidation type="list" allowBlank="1" sqref="H1:H1048576" xr:uid="{4A3E59FC-BA77-41C8-9A9C-F9C8EC28ABFF}">
      <formula1>ChannelLevelAndColorSuggestions</formula1>
    </dataValidation>
  </dataValidations>
  <hyperlinks>
    <hyperlink ref="A4" r:id="rId1" display="*@+10" xr:uid="{A70E7B99-C6EA-49EE-A19E-7669A44C2DFC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SaveCurrentValuesAsNewScene">
                <anchor moveWithCells="1">
                  <from>
                    <xdr:col>0</xdr:col>
                    <xdr:colOff>95250</xdr:colOff>
                    <xdr:row>11</xdr:row>
                    <xdr:rowOff>85725</xdr:rowOff>
                  </from>
                  <to>
                    <xdr:col>0</xdr:col>
                    <xdr:colOff>1885950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5" name="Button 5">
              <controlPr defaultSize="0" print="0" autoFill="0" autoPict="0" macro="[0]!SaveAsScene">
                <anchor moveWithCells="1">
                  <from>
                    <xdr:col>0</xdr:col>
                    <xdr:colOff>95250</xdr:colOff>
                    <xdr:row>15</xdr:row>
                    <xdr:rowOff>85725</xdr:rowOff>
                  </from>
                  <to>
                    <xdr:col>0</xdr:col>
                    <xdr:colOff>1885950</xdr:colOff>
                    <xdr:row>18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F1641-4E0B-4E88-8B16-4BD6B6BBEEAB}">
  <sheetPr codeName="Sheet5"/>
  <dimension ref="A1:AB20"/>
  <sheetViews>
    <sheetView workbookViewId="0">
      <selection activeCell="B5" sqref="B5"/>
    </sheetView>
  </sheetViews>
  <sheetFormatPr defaultRowHeight="15" x14ac:dyDescent="0.25"/>
  <cols>
    <col min="1" max="1" width="27.42578125" bestFit="1" customWidth="1"/>
    <col min="2" max="2" width="27.42578125" customWidth="1"/>
    <col min="3" max="3" width="27.42578125" bestFit="1" customWidth="1"/>
    <col min="4" max="4" width="8.7109375" bestFit="1" customWidth="1"/>
    <col min="5" max="5" width="10.7109375" bestFit="1" customWidth="1"/>
    <col min="6" max="6" width="9.28515625" bestFit="1" customWidth="1"/>
    <col min="28" max="28" width="9.140625" style="3"/>
  </cols>
  <sheetData>
    <row r="1" spans="1:28" x14ac:dyDescent="0.25">
      <c r="A1" s="1" t="s">
        <v>20</v>
      </c>
    </row>
    <row r="3" spans="1:28" x14ac:dyDescent="0.25">
      <c r="A3" s="1" t="s">
        <v>2</v>
      </c>
      <c r="B3" s="1" t="s">
        <v>23</v>
      </c>
      <c r="C3" s="1" t="s">
        <v>21</v>
      </c>
      <c r="D3" s="1" t="s">
        <v>22</v>
      </c>
    </row>
    <row r="4" spans="1:28" x14ac:dyDescent="0.25">
      <c r="A4" s="22" t="s">
        <v>25</v>
      </c>
      <c r="B4" s="22" t="s">
        <v>24</v>
      </c>
      <c r="C4" s="22">
        <v>100</v>
      </c>
      <c r="D4" s="22" t="s">
        <v>26</v>
      </c>
      <c r="E4" s="22" t="s">
        <v>28</v>
      </c>
      <c r="F4" s="22" t="s">
        <v>27</v>
      </c>
      <c r="G4" s="22" t="s">
        <v>88</v>
      </c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B4" s="3" t="str" cm="1">
        <f t="array" ref="AB4">IF(OR(A4="",B4="",C4="",D4=""),"",_xll.AuLiComSetChaser(A4,B4,C4,D4:Z4))</f>
        <v>Reds</v>
      </c>
    </row>
    <row r="5" spans="1:28" x14ac:dyDescent="0.25">
      <c r="A5" s="22" t="s">
        <v>35</v>
      </c>
      <c r="B5" s="22" t="s">
        <v>111</v>
      </c>
      <c r="C5" s="22">
        <v>333</v>
      </c>
      <c r="D5" s="22" t="s">
        <v>26</v>
      </c>
      <c r="E5" s="22" t="s">
        <v>28</v>
      </c>
      <c r="F5" s="22" t="s">
        <v>27</v>
      </c>
      <c r="G5" s="22" t="s">
        <v>88</v>
      </c>
      <c r="H5" s="22" t="s">
        <v>32</v>
      </c>
      <c r="I5" s="22" t="s">
        <v>33</v>
      </c>
      <c r="J5" s="22" t="s">
        <v>34</v>
      </c>
      <c r="K5" s="22" t="s">
        <v>89</v>
      </c>
      <c r="L5" s="22" t="s">
        <v>29</v>
      </c>
      <c r="M5" s="22" t="s">
        <v>30</v>
      </c>
      <c r="N5" s="22" t="s">
        <v>31</v>
      </c>
      <c r="O5" s="22" t="s">
        <v>90</v>
      </c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B5" s="3" t="str" cm="1">
        <f t="array" ref="AB5">IF(OR(A5="",B5="",C5="",D5=""),"",_xll.AuLiComSetChaser(A5,B5,C5,D5:Z5))</f>
        <v>All Colors</v>
      </c>
    </row>
    <row r="6" spans="1:28" x14ac:dyDescent="0.25">
      <c r="A6" s="22" t="s">
        <v>112</v>
      </c>
      <c r="B6" s="22" t="s">
        <v>36</v>
      </c>
      <c r="C6" s="22">
        <v>500</v>
      </c>
      <c r="D6" s="22" t="s">
        <v>29</v>
      </c>
      <c r="E6" s="22" t="s">
        <v>30</v>
      </c>
      <c r="F6" s="22" t="s">
        <v>31</v>
      </c>
      <c r="G6" s="22" t="s">
        <v>90</v>
      </c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B6" s="3" t="str" cm="1">
        <f t="array" ref="AB6">IF(OR(A6="",B6="",C6="",D6=""),"",_xll.AuLiComSetChaser(A6,B6,C6,D6:Z6))</f>
        <v>Blues</v>
      </c>
    </row>
    <row r="7" spans="1:28" x14ac:dyDescent="0.25">
      <c r="A7" s="22" t="s">
        <v>117</v>
      </c>
      <c r="B7" s="22" t="s">
        <v>36</v>
      </c>
      <c r="C7" s="22">
        <v>500</v>
      </c>
      <c r="D7" s="22" t="s">
        <v>113</v>
      </c>
      <c r="E7" s="22" t="s">
        <v>118</v>
      </c>
      <c r="F7" s="22" t="s">
        <v>114</v>
      </c>
      <c r="G7" s="22" t="s">
        <v>115</v>
      </c>
      <c r="H7" s="22" t="s">
        <v>116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B7" s="3" t="str" cm="1">
        <f t="array" ref="AB7">IF(OR(A7="",B7="",C7="",D7=""),"",_xll.AuLiComSetChaser(A7,B7,C7,D7:Z7))</f>
        <v>Front2</v>
      </c>
    </row>
    <row r="8" spans="1:28" x14ac:dyDescent="0.25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B8" s="3" t="str" cm="1">
        <f t="array" ref="AB8">IF(OR(A8="",B8="",C8="",D8=""),"",_xll.AuLiComSetChaser(A8,B8,C8,D8:Z8))</f>
        <v/>
      </c>
    </row>
    <row r="9" spans="1:28" x14ac:dyDescent="0.25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B9" s="3" t="str" cm="1">
        <f t="array" ref="AB9">IF(OR(A9="",B9="",C9="",D9=""),"",_xll.AuLiComSetChaser(A9,B9,C9,D9:Z9))</f>
        <v/>
      </c>
    </row>
    <row r="10" spans="1:28" x14ac:dyDescent="0.25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B10" s="3" t="str" cm="1">
        <f t="array" ref="AB10">IF(OR(A10="",B10="",C10="",D10=""),"",_xll.AuLiComSetChaser(A10,B10,C10,D10:Z10))</f>
        <v/>
      </c>
    </row>
    <row r="11" spans="1:28" x14ac:dyDescent="0.25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B11" s="3" t="str" cm="1">
        <f t="array" ref="AB11">IF(OR(A11="",B11="",C11="",D11=""),"",_xll.AuLiComSetChaser(A11,B11,C11,D11:Z11))</f>
        <v/>
      </c>
    </row>
    <row r="12" spans="1:28" x14ac:dyDescent="0.25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B12" s="3" t="str" cm="1">
        <f t="array" ref="AB12">IF(OR(A12="",B12="",C12="",D12=""),"",_xll.AuLiComSetChaser(A12,B12,C12,D12:Z12))</f>
        <v/>
      </c>
    </row>
    <row r="13" spans="1:28" x14ac:dyDescent="0.25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B13" s="3" t="str" cm="1">
        <f t="array" ref="AB13">IF(OR(A13="",B13="",C13="",D13=""),"",_xll.AuLiComSetChaser(A13,B13,C13,D13:Z13))</f>
        <v/>
      </c>
    </row>
    <row r="14" spans="1:28" x14ac:dyDescent="0.25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B14" s="3" t="str" cm="1">
        <f t="array" ref="AB14">IF(OR(A14="",B14="",C14="",D14=""),"",_xll.AuLiComSetChaser(A14,B14,C14,D14:Z14))</f>
        <v/>
      </c>
    </row>
    <row r="15" spans="1:28" x14ac:dyDescent="0.25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B15" s="3" t="str" cm="1">
        <f t="array" ref="AB15">IF(OR(A15="",B15="",C15="",D15=""),"",_xll.AuLiComSetChaser(A15,B15,C15,D15:Z15))</f>
        <v/>
      </c>
    </row>
    <row r="16" spans="1:28" x14ac:dyDescent="0.2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B16" s="3" t="str" cm="1">
        <f t="array" ref="AB16">IF(OR(A16="",B16="",C16="",D16=""),"",_xll.AuLiComSetChaser(A16,B16,C16,D16:Z16))</f>
        <v/>
      </c>
    </row>
    <row r="17" spans="1:28" x14ac:dyDescent="0.2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B17" s="3" t="str" cm="1">
        <f t="array" ref="AB17">IF(OR(A17="",B17="",C17="",D17=""),"",_xll.AuLiComSetChaser(A17,B17,C17,D17:Z17))</f>
        <v/>
      </c>
    </row>
    <row r="18" spans="1:28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B18" s="3" t="str" cm="1">
        <f t="array" ref="AB18">IF(OR(A18="",B18="",C18="",D18=""),"",_xll.AuLiComSetChaser(A18,B18,C18,D18:Z18))</f>
        <v/>
      </c>
    </row>
    <row r="19" spans="1:28" x14ac:dyDescent="0.2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B19" s="3" t="str" cm="1">
        <f t="array" ref="AB19">IF(OR(A19="",B19="",C19="",D19=""),"",_xll.AuLiComSetChaser(A19,B19,C19,D19:Z19))</f>
        <v/>
      </c>
    </row>
    <row r="20" spans="1:28" x14ac:dyDescent="0.2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B20" s="3" t="str" cm="1">
        <f t="array" ref="AB20">IF(OR(A20="",B20="",C20="",D20=""),"",_xll.AuLiComSetChaser(A20,B20,C20,D20:Z20))</f>
        <v/>
      </c>
    </row>
  </sheetData>
  <dataValidations count="2">
    <dataValidation type="list" allowBlank="1" showInputMessage="1" showErrorMessage="1" sqref="B1:B1048576" xr:uid="{59B5C434-109B-4715-8827-96D44703FA58}">
      <formula1>ChaserKinds</formula1>
    </dataValidation>
    <dataValidation type="list" allowBlank="1" showInputMessage="1" showErrorMessage="1" sqref="D1:Z1048576" xr:uid="{1DD20C88-3821-459C-82F8-69B54524AA97}">
      <formula1>SceneNames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3" name="Button 3">
              <controlPr defaultSize="0" print="0" autoFill="0" autoPict="0" macro="[0]!StartChaser">
                <anchor moveWithCells="1">
                  <from>
                    <xdr:col>1</xdr:col>
                    <xdr:colOff>38100</xdr:colOff>
                    <xdr:row>0</xdr:row>
                    <xdr:rowOff>66675</xdr:rowOff>
                  </from>
                  <to>
                    <xdr:col>1</xdr:col>
                    <xdr:colOff>1781175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StopChaser">
                <anchor moveWithCells="1">
                  <from>
                    <xdr:col>2</xdr:col>
                    <xdr:colOff>28575</xdr:colOff>
                    <xdr:row>0</xdr:row>
                    <xdr:rowOff>66675</xdr:rowOff>
                  </from>
                  <to>
                    <xdr:col>2</xdr:col>
                    <xdr:colOff>1771650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D81B3-98E9-496F-B990-7374F487B511}">
  <sheetPr codeName="Sheet4"/>
  <dimension ref="A1:C19"/>
  <sheetViews>
    <sheetView workbookViewId="0">
      <selection activeCell="A16" sqref="A16"/>
    </sheetView>
  </sheetViews>
  <sheetFormatPr defaultRowHeight="15" x14ac:dyDescent="0.25"/>
  <cols>
    <col min="1" max="1" width="25.5703125" style="9" customWidth="1"/>
    <col min="2" max="2" width="10.140625" style="9" bestFit="1" customWidth="1"/>
    <col min="3" max="3" width="9.140625" style="10"/>
    <col min="4" max="4" width="37.28515625" customWidth="1"/>
  </cols>
  <sheetData>
    <row r="1" spans="1:3" x14ac:dyDescent="0.25">
      <c r="A1" s="8" t="s">
        <v>18</v>
      </c>
      <c r="B1" s="8" t="s">
        <v>121</v>
      </c>
    </row>
    <row r="2" spans="1:3" x14ac:dyDescent="0.25">
      <c r="A2" s="9" t="str" cm="1">
        <f t="array" ref="A2:A18">_xlfn._xlws.SORT(_xll.AuLiComGetScenes())</f>
        <v>Blue1</v>
      </c>
      <c r="B2" s="9">
        <v>1</v>
      </c>
    </row>
    <row r="3" spans="1:3" x14ac:dyDescent="0.25">
      <c r="A3" s="9" t="str">
        <v>Blue2</v>
      </c>
      <c r="B3" s="9">
        <v>1</v>
      </c>
    </row>
    <row r="4" spans="1:3" x14ac:dyDescent="0.25">
      <c r="A4" s="9" t="str">
        <v>Blue3</v>
      </c>
      <c r="B4" s="9">
        <v>1</v>
      </c>
    </row>
    <row r="5" spans="1:3" x14ac:dyDescent="0.25">
      <c r="A5" s="9" t="str">
        <v>Blue4</v>
      </c>
      <c r="B5" s="9">
        <v>1</v>
      </c>
    </row>
    <row r="6" spans="1:3" x14ac:dyDescent="0.25">
      <c r="A6" s="9" t="str">
        <v>Front2a</v>
      </c>
      <c r="B6" s="9">
        <v>1</v>
      </c>
    </row>
    <row r="7" spans="1:3" x14ac:dyDescent="0.25">
      <c r="A7" s="9" t="str">
        <v>Front2b</v>
      </c>
      <c r="B7" s="9">
        <v>1</v>
      </c>
    </row>
    <row r="8" spans="1:3" x14ac:dyDescent="0.25">
      <c r="A8" s="9" t="str">
        <v>Front2c</v>
      </c>
      <c r="B8" s="9">
        <v>1</v>
      </c>
    </row>
    <row r="9" spans="1:3" x14ac:dyDescent="0.25">
      <c r="A9" s="9" t="str">
        <v>Front2d</v>
      </c>
      <c r="B9" s="9">
        <v>1</v>
      </c>
    </row>
    <row r="10" spans="1:3" x14ac:dyDescent="0.25">
      <c r="A10" s="9" t="str">
        <v>Front2e</v>
      </c>
      <c r="B10" s="9">
        <v>1</v>
      </c>
    </row>
    <row r="11" spans="1:3" x14ac:dyDescent="0.25">
      <c r="A11" s="9" t="str">
        <v>Green1</v>
      </c>
      <c r="B11" s="9">
        <v>1</v>
      </c>
    </row>
    <row r="12" spans="1:3" x14ac:dyDescent="0.25">
      <c r="A12" s="9" t="str">
        <v>Green2</v>
      </c>
      <c r="B12" s="9">
        <v>1</v>
      </c>
    </row>
    <row r="13" spans="1:3" x14ac:dyDescent="0.25">
      <c r="A13" s="9" t="str">
        <v>Green3</v>
      </c>
      <c r="B13" s="9">
        <v>1</v>
      </c>
    </row>
    <row r="14" spans="1:3" x14ac:dyDescent="0.25">
      <c r="A14" s="9" t="str">
        <v>Green4</v>
      </c>
      <c r="B14" s="9">
        <v>1</v>
      </c>
    </row>
    <row r="15" spans="1:3" x14ac:dyDescent="0.25">
      <c r="A15" s="9" t="str">
        <v>Red1</v>
      </c>
      <c r="B15" s="9">
        <v>1</v>
      </c>
    </row>
    <row r="16" spans="1:3" x14ac:dyDescent="0.25">
      <c r="A16" s="9" t="str">
        <v>Red2</v>
      </c>
      <c r="B16" s="9">
        <v>1</v>
      </c>
      <c r="C16" s="10" t="s">
        <v>122</v>
      </c>
    </row>
    <row r="17" spans="1:2" x14ac:dyDescent="0.25">
      <c r="A17" s="9" t="str">
        <v>Red3</v>
      </c>
      <c r="B17" s="9">
        <v>1</v>
      </c>
    </row>
    <row r="18" spans="1:2" x14ac:dyDescent="0.25">
      <c r="A18" s="9" t="str">
        <v>Red4</v>
      </c>
      <c r="B18" s="9">
        <v>1</v>
      </c>
    </row>
    <row r="19" spans="1:2" x14ac:dyDescent="0.25">
      <c r="B19" s="9">
        <v>1</v>
      </c>
    </row>
  </sheetData>
  <sheetProtection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locked="0" defaultSize="0" print="0" autoFill="0" autoPict="0" macro="[0]!SetSingleActiveScene">
                <anchor moveWithCells="1">
                  <from>
                    <xdr:col>3</xdr:col>
                    <xdr:colOff>257175</xdr:colOff>
                    <xdr:row>0</xdr:row>
                    <xdr:rowOff>114300</xdr:rowOff>
                  </from>
                  <to>
                    <xdr:col>3</xdr:col>
                    <xdr:colOff>2228850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locked="0" defaultSize="0" print="0" autoFill="0" autoPict="0" macro="[0]!ClearActiveScenes">
                <anchor moveWithCells="1">
                  <from>
                    <xdr:col>3</xdr:col>
                    <xdr:colOff>257175</xdr:colOff>
                    <xdr:row>2</xdr:row>
                    <xdr:rowOff>180975</xdr:rowOff>
                  </from>
                  <to>
                    <xdr:col>3</xdr:col>
                    <xdr:colOff>2228850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29325-0127-4D2B-9411-22A514396505}">
  <sheetPr codeName="Sheet2">
    <tabColor theme="7" tint="0.79998168889431442"/>
  </sheetPr>
  <dimension ref="A1:Y276"/>
  <sheetViews>
    <sheetView workbookViewId="0">
      <pane ySplit="3" topLeftCell="A16" activePane="bottomLeft" state="frozen"/>
      <selection activeCell="T26" sqref="T26"/>
      <selection pane="bottomLeft" activeCell="T26" sqref="T26"/>
    </sheetView>
  </sheetViews>
  <sheetFormatPr defaultRowHeight="15" x14ac:dyDescent="0.25"/>
  <cols>
    <col min="1" max="1" width="24.85546875" bestFit="1" customWidth="1"/>
    <col min="2" max="2" width="8.42578125" customWidth="1"/>
    <col min="3" max="3" width="9.42578125" customWidth="1"/>
    <col min="4" max="4" width="8.28515625" bestFit="1" customWidth="1"/>
    <col min="5" max="19" width="9.42578125" customWidth="1"/>
  </cols>
  <sheetData>
    <row r="1" spans="1:25" x14ac:dyDescent="0.25">
      <c r="C1" s="1"/>
      <c r="D1" s="13" t="s">
        <v>94</v>
      </c>
      <c r="E1" s="3" t="str" cm="1">
        <f t="array" aca="1" ref="E1" ca="1">IF(E3="",
       "",
       IF(COUNTIF(3:3,E3)&gt;1,
             "Scene Name must be unique",
             _xll.AuLiComSetScene(E3,OFFSET($D3,1,0,_xll.AuLiComGetFixtureChannelCountTotal(),1),OFFSET(E3,1,0,_xll.AuLiComGetFixtureChannelCountTotal(),1))))</f>
        <v>Red1</v>
      </c>
      <c r="F1" s="3" t="str" cm="1">
        <f t="array" aca="1" ref="F1" ca="1">IF(F3="",
       "",
       IF(COUNTIF(3:3,F3)&gt;1,
             "Scene Name must be unique",
             _xll.AuLiComSetScene(F3,OFFSET($D3,1,0,_xll.AuLiComGetFixtureChannelCountTotal(),1),OFFSET(F3,1,0,_xll.AuLiComGetFixtureChannelCountTotal(),1))))</f>
        <v>Red2</v>
      </c>
      <c r="G1" s="3" t="str" cm="1">
        <f t="array" aca="1" ref="G1" ca="1">IF(G3="",
       "",
       IF(COUNTIF(3:3,G3)&gt;1,
             "Scene Name must be unique",
             _xll.AuLiComSetScene(G3,OFFSET($D3,1,0,_xll.AuLiComGetFixtureChannelCountTotal(),1),OFFSET(G3,1,0,_xll.AuLiComGetFixtureChannelCountTotal(),1))))</f>
        <v>Red3</v>
      </c>
      <c r="H1" s="3" t="str" cm="1">
        <f t="array" aca="1" ref="H1" ca="1">IF(H3="",
       "",
       IF(COUNTIF(3:3,H3)&gt;1,
             "Scene Name must be unique",
             _xll.AuLiComSetScene(H3,OFFSET($D3,1,0,_xll.AuLiComGetFixtureChannelCountTotal(),1),OFFSET(H3,1,0,_xll.AuLiComGetFixtureChannelCountTotal(),1))))</f>
        <v>Red4</v>
      </c>
      <c r="I1" s="3" t="str" cm="1">
        <f t="array" aca="1" ref="I1" ca="1">IF(I3="",
       "",
       IF(COUNTIF(3:3,I3)&gt;1,
             "Scene Name must be unique",
             _xll.AuLiComSetScene(I3,OFFSET($D3,1,0,_xll.AuLiComGetFixtureChannelCountTotal(),1),OFFSET(I3,1,0,_xll.AuLiComGetFixtureChannelCountTotal(),1))))</f>
        <v>Green1</v>
      </c>
      <c r="J1" s="3" t="str" cm="1">
        <f t="array" aca="1" ref="J1" ca="1">IF(J3="",
       "",
       IF(COUNTIF(3:3,J3)&gt;1,
             "Scene Name must be unique",
             _xll.AuLiComSetScene(J3,OFFSET($D3,1,0,_xll.AuLiComGetFixtureChannelCountTotal(),1),OFFSET(J3,1,0,_xll.AuLiComGetFixtureChannelCountTotal(),1))))</f>
        <v>Green2</v>
      </c>
      <c r="K1" s="3" t="str" cm="1">
        <f t="array" aca="1" ref="K1" ca="1">IF(K3="",
       "",
       IF(COUNTIF(3:3,K3)&gt;1,
             "Scene Name must be unique",
             _xll.AuLiComSetScene(K3,OFFSET($D3,1,0,_xll.AuLiComGetFixtureChannelCountTotal(),1),OFFSET(K3,1,0,_xll.AuLiComGetFixtureChannelCountTotal(),1))))</f>
        <v>Green3</v>
      </c>
      <c r="L1" s="3" t="str" cm="1">
        <f t="array" aca="1" ref="L1" ca="1">IF(L3="",
       "",
       IF(COUNTIF(3:3,L3)&gt;1,
             "Scene Name must be unique",
             _xll.AuLiComSetScene(L3,OFFSET($D3,1,0,_xll.AuLiComGetFixtureChannelCountTotal(),1),OFFSET(L3,1,0,_xll.AuLiComGetFixtureChannelCountTotal(),1))))</f>
        <v>Green4</v>
      </c>
      <c r="M1" s="3" t="str" cm="1">
        <f t="array" aca="1" ref="M1" ca="1">IF(M3="",
       "",
       IF(COUNTIF(3:3,M3)&gt;1,
             "Scene Name must be unique",
             _xll.AuLiComSetScene(M3,OFFSET($D3,1,0,_xll.AuLiComGetFixtureChannelCountTotal(),1),OFFSET(M3,1,0,_xll.AuLiComGetFixtureChannelCountTotal(),1))))</f>
        <v>Blue1</v>
      </c>
      <c r="N1" s="3" t="str" cm="1">
        <f t="array" aca="1" ref="N1" ca="1">IF(N3="",
       "",
       IF(COUNTIF(3:3,N3)&gt;1,
             "Scene Name must be unique",
             _xll.AuLiComSetScene(N3,OFFSET($D3,1,0,_xll.AuLiComGetFixtureChannelCountTotal(),1),OFFSET(N3,1,0,_xll.AuLiComGetFixtureChannelCountTotal(),1))))</f>
        <v>Blue2</v>
      </c>
      <c r="O1" s="3" t="str" cm="1">
        <f t="array" aca="1" ref="O1" ca="1">IF(O3="",
       "",
       IF(COUNTIF(3:3,O3)&gt;1,
             "Scene Name must be unique",
             _xll.AuLiComSetScene(O3,OFFSET($D3,1,0,_xll.AuLiComGetFixtureChannelCountTotal(),1),OFFSET(O3,1,0,_xll.AuLiComGetFixtureChannelCountTotal(),1))))</f>
        <v>Blue3</v>
      </c>
      <c r="P1" s="3" t="str" cm="1">
        <f t="array" aca="1" ref="P1" ca="1">IF(P3="",
       "",
       IF(COUNTIF(3:3,P3)&gt;1,
             "Scene Name must be unique",
             _xll.AuLiComSetScene(P3,OFFSET($D3,1,0,_xll.AuLiComGetFixtureChannelCountTotal(),1),OFFSET(P3,1,0,_xll.AuLiComGetFixtureChannelCountTotal(),1))))</f>
        <v>Blue4</v>
      </c>
      <c r="Q1" s="3" t="str" cm="1">
        <f t="array" aca="1" ref="Q1" ca="1">IF(Q3="",
       "",
       IF(COUNTIF(3:3,Q3)&gt;1,
             "Scene Name must be unique",
             _xll.AuLiComSetScene(Q3,OFFSET($D3,1,0,_xll.AuLiComGetFixtureChannelCountTotal(),1),OFFSET(Q3,1,0,_xll.AuLiComGetFixtureChannelCountTotal(),1))))</f>
        <v>Front2a</v>
      </c>
      <c r="R1" s="3" t="str" cm="1">
        <f t="array" aca="1" ref="R1" ca="1">IF(R3="",
       "",
       IF(COUNTIF(3:3,R3)&gt;1,
             "Scene Name must be unique",
             _xll.AuLiComSetScene(R3,OFFSET($D3,1,0,_xll.AuLiComGetFixtureChannelCountTotal(),1),OFFSET(R3,1,0,_xll.AuLiComGetFixtureChannelCountTotal(),1))))</f>
        <v>Front2b</v>
      </c>
      <c r="S1" s="3" t="str" cm="1">
        <f t="array" aca="1" ref="S1" ca="1">IF(S3="",
       "",
       IF(COUNTIF(3:3,S3)&gt;1,
             "Scene Name must be unique",
             _xll.AuLiComSetScene(S3,OFFSET($D3,1,0,_xll.AuLiComGetFixtureChannelCountTotal(),1),OFFSET(S3,1,0,_xll.AuLiComGetFixtureChannelCountTotal(),1))))</f>
        <v>Front2c</v>
      </c>
      <c r="T1" s="3" t="str" cm="1">
        <f t="array" aca="1" ref="T1" ca="1">IF(T3="",
       "",
       IF(COUNTIF(3:3,T3)&gt;1,
             "Scene Name must be unique",
             _xll.AuLiComSetScene(T3,OFFSET($D3,1,0,_xll.AuLiComGetFixtureChannelCountTotal(),1),OFFSET(T3,1,0,_xll.AuLiComGetFixtureChannelCountTotal(),1))))</f>
        <v>Front2d</v>
      </c>
      <c r="U1" s="3" t="str" cm="1">
        <f t="array" aca="1" ref="U1" ca="1">IF(U3="",
       "",
       IF(COUNTIF(3:3,U3)&gt;1,
             "Scene Name must be unique",
             _xll.AuLiComSetScene(U3,OFFSET($D3,1,0,_xll.AuLiComGetFixtureChannelCountTotal(),1),OFFSET(U3,1,0,_xll.AuLiComGetFixtureChannelCountTotal(),1))))</f>
        <v>Front2e</v>
      </c>
      <c r="V1" s="3" t="str" cm="1">
        <f t="array" aca="1" ref="V1" ca="1">IF(V3="",
       "",
       IF(COUNTIF(3:3,V3)&gt;1,
             "Scene Name must be unique",
             _xll.AuLiComSetScene(V3,OFFSET($D3,1,0,_xll.AuLiComGetFixtureChannelCountTotal(),1),OFFSET(V3,1,0,_xll.AuLiComGetFixtureChannelCountTotal(),1))))</f>
        <v/>
      </c>
      <c r="W1" s="3" t="str" cm="1">
        <f t="array" aca="1" ref="W1" ca="1">IF(W3="",
       "",
       IF(COUNTIF(3:3,W3)&gt;1,
             "Scene Name must be unique",
             _xll.AuLiComSetScene(W3,OFFSET($D3,1,0,_xll.AuLiComGetFixtureChannelCountTotal(),1),OFFSET(W3,1,0,_xll.AuLiComGetFixtureChannelCountTotal(),1))))</f>
        <v/>
      </c>
      <c r="X1" s="3" t="str" cm="1">
        <f t="array" aca="1" ref="X1" ca="1">IF(X3="",
       "",
       IF(COUNTIF(3:3,X3)&gt;1,
             "Scene Name must be unique",
             _xll.AuLiComSetScene(X3,OFFSET($D3,1,0,_xll.AuLiComGetFixtureChannelCountTotal(),1),OFFSET(X3,1,0,_xll.AuLiComGetFixtureChannelCountTotal(),1))))</f>
        <v/>
      </c>
      <c r="Y1" s="3" t="str" cm="1">
        <f t="array" aca="1" ref="Y1" ca="1">IF(Y3="",
       "",
       IF(COUNTIF(3:3,Y3)&gt;1,
             "Scene Name must be unique",
             _xll.AuLiComSetScene(Y3,OFFSET($D3,1,0,_xll.AuLiComGetFixtureChannelCountTotal(),1),OFFSET(Y3,1,0,_xll.AuLiComGetFixtureChannelCountTotal(),1))))</f>
        <v/>
      </c>
    </row>
    <row r="2" spans="1:25" x14ac:dyDescent="0.25">
      <c r="C2" s="5"/>
      <c r="D2" s="5"/>
      <c r="E2" s="1" t="s">
        <v>87</v>
      </c>
    </row>
    <row r="3" spans="1:25" x14ac:dyDescent="0.25">
      <c r="A3" s="1" t="s">
        <v>9</v>
      </c>
      <c r="B3" s="1" t="s">
        <v>12</v>
      </c>
      <c r="C3" s="1" t="s">
        <v>86</v>
      </c>
      <c r="D3" s="1" t="s">
        <v>3</v>
      </c>
      <c r="E3" s="2" t="s">
        <v>26</v>
      </c>
      <c r="F3" s="2" t="s">
        <v>28</v>
      </c>
      <c r="G3" s="2" t="s">
        <v>27</v>
      </c>
      <c r="H3" s="2" t="s">
        <v>88</v>
      </c>
      <c r="I3" s="2" t="s">
        <v>32</v>
      </c>
      <c r="J3" s="2" t="s">
        <v>33</v>
      </c>
      <c r="K3" s="2" t="s">
        <v>34</v>
      </c>
      <c r="L3" s="2" t="s">
        <v>89</v>
      </c>
      <c r="M3" s="2" t="s">
        <v>29</v>
      </c>
      <c r="N3" s="2" t="s">
        <v>30</v>
      </c>
      <c r="O3" s="2" t="s">
        <v>31</v>
      </c>
      <c r="P3" s="2" t="s">
        <v>90</v>
      </c>
      <c r="Q3" s="2" t="s">
        <v>113</v>
      </c>
      <c r="R3" s="2" t="s">
        <v>118</v>
      </c>
      <c r="S3" s="2" t="s">
        <v>114</v>
      </c>
      <c r="T3" s="2" t="s">
        <v>115</v>
      </c>
      <c r="U3" s="2" t="s">
        <v>116</v>
      </c>
      <c r="V3" s="2"/>
      <c r="W3" s="2"/>
      <c r="X3" s="2"/>
      <c r="Y3" s="2"/>
    </row>
    <row r="4" spans="1:25" x14ac:dyDescent="0.25">
      <c r="A4" t="str" cm="1">
        <f t="array" ref="A4:D56">_xll.AuLiComGetFixtureChannelInfos()</f>
        <v>Frontlicht 1 links</v>
      </c>
      <c r="B4" t="str">
        <v>CantataPc</v>
      </c>
      <c r="C4" t="str">
        <v>Intensity</v>
      </c>
      <c r="D4">
        <v>1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</row>
    <row r="5" spans="1:25" x14ac:dyDescent="0.25">
      <c r="A5" t="str">
        <v>Cantata Profiler</v>
      </c>
      <c r="B5" t="str">
        <v>CantataProfiler</v>
      </c>
      <c r="C5" t="str">
        <v>Intensity</v>
      </c>
      <c r="D5">
        <v>2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</row>
    <row r="6" spans="1:25" x14ac:dyDescent="0.25">
      <c r="A6" t="str">
        <v>Frontlicht 1 rechts</v>
      </c>
      <c r="B6" t="str">
        <v>GenericLamp</v>
      </c>
      <c r="C6" t="str">
        <v>Intensity</v>
      </c>
      <c r="D6">
        <v>3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</row>
    <row r="7" spans="1:25" x14ac:dyDescent="0.25">
      <c r="A7" t="str">
        <v>Frontlicht Band 2</v>
      </c>
      <c r="B7" t="str">
        <v>Par64</v>
      </c>
      <c r="C7" t="str">
        <v>Intensity</v>
      </c>
      <c r="D7">
        <v>4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</row>
    <row r="8" spans="1:25" x14ac:dyDescent="0.25">
      <c r="A8" t="str">
        <v>Gegenlicht</v>
      </c>
      <c r="B8" t="str">
        <v>Par56Silver</v>
      </c>
      <c r="C8" t="str">
        <v>Intensity</v>
      </c>
      <c r="D8">
        <v>5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</row>
    <row r="9" spans="1:25" x14ac:dyDescent="0.25">
      <c r="A9" t="str">
        <v>Profiler links</v>
      </c>
      <c r="B9" t="str">
        <v>Profiler</v>
      </c>
      <c r="C9" t="str">
        <v>Intensity</v>
      </c>
      <c r="D9">
        <v>6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</row>
    <row r="10" spans="1:25" x14ac:dyDescent="0.25">
      <c r="A10" t="str">
        <v>Profiler rechts</v>
      </c>
      <c r="B10" t="str">
        <v>Profiler</v>
      </c>
      <c r="C10" t="str">
        <v>Intensity</v>
      </c>
      <c r="D10">
        <v>7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</row>
    <row r="11" spans="1:25" x14ac:dyDescent="0.25">
      <c r="A11" t="str">
        <v>Frontlicht 2 links</v>
      </c>
      <c r="B11" t="str">
        <v>ElationKl4Fresnel_1Ch</v>
      </c>
      <c r="C11" t="str">
        <v>Intensity</v>
      </c>
      <c r="D11">
        <v>8</v>
      </c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>
        <v>70</v>
      </c>
      <c r="R11" s="2"/>
      <c r="S11" s="2"/>
      <c r="T11" s="2"/>
      <c r="U11" s="2"/>
      <c r="V11" s="2"/>
      <c r="W11" s="2"/>
      <c r="X11" s="2"/>
      <c r="Y11" s="2"/>
    </row>
    <row r="12" spans="1:25" x14ac:dyDescent="0.25">
      <c r="A12" t="str">
        <v>Frontlicht 2 links-mitte</v>
      </c>
      <c r="B12" t="str">
        <v>ElationKl4Fresnel_1Ch</v>
      </c>
      <c r="C12" t="str">
        <v>Intensity</v>
      </c>
      <c r="D12">
        <v>9</v>
      </c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>
        <v>70</v>
      </c>
      <c r="S12" s="2"/>
      <c r="T12" s="2"/>
      <c r="U12" s="2"/>
      <c r="V12" s="2"/>
      <c r="W12" s="2"/>
      <c r="X12" s="2"/>
      <c r="Y12" s="2"/>
    </row>
    <row r="13" spans="1:25" x14ac:dyDescent="0.25">
      <c r="A13" t="str">
        <v>Frontlicht 2 mitte</v>
      </c>
      <c r="B13" t="str">
        <v>ElationKl4Fresnel_1Ch</v>
      </c>
      <c r="C13" t="str">
        <v>Intensity</v>
      </c>
      <c r="D13">
        <v>10</v>
      </c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>
        <v>70</v>
      </c>
      <c r="T13" s="2"/>
      <c r="U13" s="2"/>
      <c r="V13" s="2"/>
      <c r="W13" s="2"/>
      <c r="X13" s="2"/>
      <c r="Y13" s="2"/>
    </row>
    <row r="14" spans="1:25" x14ac:dyDescent="0.25">
      <c r="A14" t="str">
        <v>Frontlicht 2 rechts-mitte</v>
      </c>
      <c r="B14" t="str">
        <v>ElationKl4Fresnel_1Ch</v>
      </c>
      <c r="C14" t="str">
        <v>Intensity</v>
      </c>
      <c r="D14">
        <v>11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>
        <v>70</v>
      </c>
      <c r="U14" s="2"/>
      <c r="V14" s="2"/>
      <c r="W14" s="2"/>
      <c r="X14" s="2"/>
      <c r="Y14" s="2"/>
    </row>
    <row r="15" spans="1:25" x14ac:dyDescent="0.25">
      <c r="A15" t="str">
        <v>Frontlicht 2 rechts</v>
      </c>
      <c r="B15" t="str">
        <v>ElationKl4Fresnel_1Ch</v>
      </c>
      <c r="C15" t="str">
        <v>Intensity</v>
      </c>
      <c r="D15">
        <v>12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>
        <v>70</v>
      </c>
      <c r="V15" s="2"/>
      <c r="W15" s="2"/>
      <c r="X15" s="2"/>
      <c r="Y15" s="2"/>
    </row>
    <row r="16" spans="1:25" x14ac:dyDescent="0.25">
      <c r="A16" t="str">
        <v>Seitenlicht 1 links</v>
      </c>
      <c r="B16" t="str">
        <v>CantataPc</v>
      </c>
      <c r="C16" t="str">
        <v>Intensity</v>
      </c>
      <c r="D16">
        <v>13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</row>
    <row r="17" spans="1:25" x14ac:dyDescent="0.25">
      <c r="A17" t="str">
        <v>Gegenlicht Traverse links</v>
      </c>
      <c r="B17" t="str">
        <v>Par64</v>
      </c>
      <c r="C17" t="str">
        <v>Intensity</v>
      </c>
      <c r="D17">
        <v>14</v>
      </c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</row>
    <row r="18" spans="1:25" x14ac:dyDescent="0.25">
      <c r="A18" t="str">
        <v>Seitenlicht 2 links</v>
      </c>
      <c r="B18" t="str">
        <v>CantataPc</v>
      </c>
      <c r="C18" t="str">
        <v>Intensity</v>
      </c>
      <c r="D18">
        <v>15</v>
      </c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</row>
    <row r="19" spans="1:25" x14ac:dyDescent="0.25">
      <c r="A19" t="str">
        <v>Spot Rohr links</v>
      </c>
      <c r="B19" t="str">
        <v>Par64</v>
      </c>
      <c r="C19" t="str">
        <v>Intensity</v>
      </c>
      <c r="D19">
        <v>16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</row>
    <row r="20" spans="1:25" x14ac:dyDescent="0.25">
      <c r="A20" t="str">
        <v>Frontlicht 3 links</v>
      </c>
      <c r="B20" t="str">
        <v>AriaPc</v>
      </c>
      <c r="C20" t="str">
        <v>Intensity</v>
      </c>
      <c r="D20">
        <v>17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</row>
    <row r="21" spans="1:25" x14ac:dyDescent="0.25">
      <c r="A21" t="str">
        <v>Gegenlicht vorne 2x</v>
      </c>
      <c r="B21" t="str">
        <v>AriaPc</v>
      </c>
      <c r="C21" t="str">
        <v>Intensity</v>
      </c>
      <c r="D21">
        <v>18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</row>
    <row r="22" spans="1:25" x14ac:dyDescent="0.25">
      <c r="A22" t="str">
        <v>Frontlicht 3 mitte</v>
      </c>
      <c r="B22" t="str">
        <v>AriaPc</v>
      </c>
      <c r="C22" t="str">
        <v>Intensity</v>
      </c>
      <c r="D22">
        <v>19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</row>
    <row r="23" spans="1:25" x14ac:dyDescent="0.25">
      <c r="A23" t="str">
        <v>Spot Rohr rechts</v>
      </c>
      <c r="B23" t="str">
        <v>Par64</v>
      </c>
      <c r="C23" t="str">
        <v>Intensity</v>
      </c>
      <c r="D23">
        <v>20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</row>
    <row r="24" spans="1:25" x14ac:dyDescent="0.25">
      <c r="A24" t="str">
        <v>Frontlicht 3 rechts</v>
      </c>
      <c r="B24" t="str">
        <v>AriaPc</v>
      </c>
      <c r="C24" t="str">
        <v>Intensity</v>
      </c>
      <c r="D24">
        <v>21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</row>
    <row r="25" spans="1:25" x14ac:dyDescent="0.25">
      <c r="A25" t="str">
        <v>Seitenlicht 2 rechts</v>
      </c>
      <c r="B25" t="str">
        <v>CantataPc</v>
      </c>
      <c r="C25" t="str">
        <v>Intensity</v>
      </c>
      <c r="D25">
        <v>22</v>
      </c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</row>
    <row r="26" spans="1:25" x14ac:dyDescent="0.25">
      <c r="A26" t="str">
        <v>Gegenlicht Traverse rechts</v>
      </c>
      <c r="B26" t="str">
        <v>Par64</v>
      </c>
      <c r="C26" t="str">
        <v>Intensity</v>
      </c>
      <c r="D26">
        <v>23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</row>
    <row r="27" spans="1:25" x14ac:dyDescent="0.25">
      <c r="A27" t="str">
        <v>Seitenlicht 1 rechts</v>
      </c>
      <c r="B27" t="str">
        <v>CantataPc</v>
      </c>
      <c r="C27" t="str">
        <v>Intensity</v>
      </c>
      <c r="D27">
        <v>24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</row>
    <row r="28" spans="1:25" x14ac:dyDescent="0.25">
      <c r="A28" t="str">
        <v>LED Fluter</v>
      </c>
      <c r="B28" t="str">
        <v>CameoThunderWash600Rgbw_7Ch2</v>
      </c>
      <c r="C28" t="str">
        <v>Intensity</v>
      </c>
      <c r="D28">
        <v>25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</row>
    <row r="29" spans="1:25" x14ac:dyDescent="0.25">
      <c r="A29" t="str">
        <v>LED Fluter</v>
      </c>
      <c r="B29" t="str">
        <v>CameoThunderWash600Rgbw_7Ch2</v>
      </c>
      <c r="C29" t="str">
        <v>StrobeSpeed</v>
      </c>
      <c r="D29">
        <v>26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</row>
    <row r="30" spans="1:25" x14ac:dyDescent="0.25">
      <c r="A30" t="str">
        <v>LED Fluter</v>
      </c>
      <c r="B30" t="str">
        <v>CameoThunderWash600Rgbw_7Ch2</v>
      </c>
      <c r="C30" t="str">
        <v>FlashDuration</v>
      </c>
      <c r="D30">
        <v>27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</row>
    <row r="31" spans="1:25" x14ac:dyDescent="0.25">
      <c r="A31" t="str">
        <v>LED Fluter</v>
      </c>
      <c r="B31" t="str">
        <v>CameoThunderWash600Rgbw_7Ch2</v>
      </c>
      <c r="C31" t="str">
        <v>Red</v>
      </c>
      <c r="D31">
        <v>28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</row>
    <row r="32" spans="1:25" x14ac:dyDescent="0.25">
      <c r="A32" t="str">
        <v>LED Fluter</v>
      </c>
      <c r="B32" t="str">
        <v>CameoThunderWash600Rgbw_7Ch2</v>
      </c>
      <c r="C32" t="str">
        <v>Green</v>
      </c>
      <c r="D32">
        <v>29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</row>
    <row r="33" spans="1:25" x14ac:dyDescent="0.25">
      <c r="A33" t="str">
        <v>LED Fluter</v>
      </c>
      <c r="B33" t="str">
        <v>CameoThunderWash600Rgbw_7Ch2</v>
      </c>
      <c r="C33" t="str">
        <v>Blue</v>
      </c>
      <c r="D33">
        <v>30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</row>
    <row r="34" spans="1:25" x14ac:dyDescent="0.25">
      <c r="A34" t="str">
        <v>LED Fluter</v>
      </c>
      <c r="B34" t="str">
        <v>CameoThunderWash600Rgbw_7Ch2</v>
      </c>
      <c r="C34" t="str">
        <v>White</v>
      </c>
      <c r="D34">
        <v>31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</row>
    <row r="35" spans="1:25" x14ac:dyDescent="0.25">
      <c r="A35" t="str">
        <v>Aulalicht</v>
      </c>
      <c r="B35" t="str">
        <v>Quartz</v>
      </c>
      <c r="C35" t="str">
        <v>Intensity</v>
      </c>
      <c r="D35">
        <v>32</v>
      </c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</row>
    <row r="36" spans="1:25" x14ac:dyDescent="0.25">
      <c r="A36" t="str">
        <v>Seitenlicht 3 links</v>
      </c>
      <c r="B36" t="str">
        <v>CantataPc</v>
      </c>
      <c r="C36" t="str">
        <v>Intensity</v>
      </c>
      <c r="D36">
        <v>34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</row>
    <row r="37" spans="1:25" x14ac:dyDescent="0.25">
      <c r="A37" t="str">
        <v>Seitenlicht 3 rechts</v>
      </c>
      <c r="B37" t="str">
        <v>CantataPc</v>
      </c>
      <c r="C37" t="str">
        <v>Intensity</v>
      </c>
      <c r="D37">
        <v>35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</row>
    <row r="38" spans="1:25" x14ac:dyDescent="0.25">
      <c r="A38" t="str">
        <v>Seitenlicht 4 links</v>
      </c>
      <c r="B38" t="str">
        <v>CantataPc</v>
      </c>
      <c r="C38" t="str">
        <v>Intensity</v>
      </c>
      <c r="D38">
        <v>36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</row>
    <row r="39" spans="1:25" x14ac:dyDescent="0.25">
      <c r="A39" t="str">
        <v>Seitenlicht 4 rechts</v>
      </c>
      <c r="B39" t="str">
        <v>CantataPc</v>
      </c>
      <c r="C39" t="str">
        <v>Intensity</v>
      </c>
      <c r="D39">
        <v>37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</row>
    <row r="40" spans="1:25" x14ac:dyDescent="0.25">
      <c r="A40" t="str">
        <v>Seitenlicht 5 links</v>
      </c>
      <c r="B40" t="str">
        <v>CantataPc</v>
      </c>
      <c r="C40" t="str">
        <v>Intensity</v>
      </c>
      <c r="D40">
        <v>38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</row>
    <row r="41" spans="1:25" x14ac:dyDescent="0.25">
      <c r="A41" t="str">
        <v>Seitenlicht 5 rechts</v>
      </c>
      <c r="B41" t="str">
        <v>CantataPc</v>
      </c>
      <c r="C41" t="str">
        <v>Intensity</v>
      </c>
      <c r="D41">
        <v>39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</row>
    <row r="42" spans="1:25" x14ac:dyDescent="0.25">
      <c r="A42" t="str">
        <v>Bar</v>
      </c>
      <c r="B42" t="str">
        <v>CameoLedBar_12Ch</v>
      </c>
      <c r="C42" t="str">
        <v>Ignore1</v>
      </c>
      <c r="D42">
        <v>40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</row>
    <row r="43" spans="1:25" x14ac:dyDescent="0.25">
      <c r="A43" t="str">
        <v>Bar</v>
      </c>
      <c r="B43" t="str">
        <v>CameoLedBar_12Ch</v>
      </c>
      <c r="C43" t="str">
        <v>Ignore2</v>
      </c>
      <c r="D43">
        <v>41</v>
      </c>
      <c r="E43" s="2">
        <v>100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</row>
    <row r="44" spans="1:25" x14ac:dyDescent="0.25">
      <c r="A44" t="str">
        <v>Bar</v>
      </c>
      <c r="B44" t="str">
        <v>CameoLedBar_12Ch</v>
      </c>
      <c r="C44" t="str">
        <v>Ignore3</v>
      </c>
      <c r="D44">
        <v>42</v>
      </c>
      <c r="E44" s="2"/>
      <c r="F44" s="2"/>
      <c r="G44" s="2"/>
      <c r="H44" s="2"/>
      <c r="I44" s="2">
        <v>100</v>
      </c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</row>
    <row r="45" spans="1:25" x14ac:dyDescent="0.25">
      <c r="A45" t="str">
        <v>Bar</v>
      </c>
      <c r="B45" t="str">
        <v>CameoLedBar_12Ch</v>
      </c>
      <c r="C45" t="str">
        <v>Red1</v>
      </c>
      <c r="D45">
        <v>43</v>
      </c>
      <c r="E45" s="2"/>
      <c r="F45" s="2"/>
      <c r="G45" s="2"/>
      <c r="H45" s="2"/>
      <c r="I45" s="2"/>
      <c r="J45" s="2"/>
      <c r="K45" s="2"/>
      <c r="L45" s="2"/>
      <c r="M45" s="2">
        <v>100</v>
      </c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</row>
    <row r="46" spans="1:25" x14ac:dyDescent="0.25">
      <c r="A46" t="str">
        <v>Bar</v>
      </c>
      <c r="B46" t="str">
        <v>CameoLedBar_12Ch</v>
      </c>
      <c r="C46" t="str">
        <v>Green1</v>
      </c>
      <c r="D46">
        <v>44</v>
      </c>
      <c r="E46" s="2"/>
      <c r="F46" s="2">
        <v>100</v>
      </c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</row>
    <row r="47" spans="1:25" x14ac:dyDescent="0.25">
      <c r="A47" t="str">
        <v>Bar</v>
      </c>
      <c r="B47" t="str">
        <v>CameoLedBar_12Ch</v>
      </c>
      <c r="C47" t="str">
        <v>Blue1</v>
      </c>
      <c r="D47">
        <v>45</v>
      </c>
      <c r="E47" s="2"/>
      <c r="F47" s="2"/>
      <c r="G47" s="2"/>
      <c r="H47" s="2"/>
      <c r="I47" s="2"/>
      <c r="J47" s="2">
        <v>100</v>
      </c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</row>
    <row r="48" spans="1:25" x14ac:dyDescent="0.25">
      <c r="A48" t="str">
        <v>Bar</v>
      </c>
      <c r="B48" t="str">
        <v>CameoLedBar_12Ch</v>
      </c>
      <c r="C48" t="str">
        <v>Red2</v>
      </c>
      <c r="D48">
        <v>46</v>
      </c>
      <c r="E48" s="2"/>
      <c r="F48" s="2"/>
      <c r="G48" s="2"/>
      <c r="H48" s="2"/>
      <c r="I48" s="2"/>
      <c r="J48" s="2"/>
      <c r="K48" s="2"/>
      <c r="L48" s="2"/>
      <c r="M48" s="2"/>
      <c r="N48" s="2">
        <v>100</v>
      </c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</row>
    <row r="49" spans="1:25" x14ac:dyDescent="0.25">
      <c r="A49" t="str">
        <v>Bar</v>
      </c>
      <c r="B49" t="str">
        <v>CameoLedBar_12Ch</v>
      </c>
      <c r="C49" t="str">
        <v>Green2</v>
      </c>
      <c r="D49">
        <v>47</v>
      </c>
      <c r="E49" s="2"/>
      <c r="F49" s="2"/>
      <c r="G49" s="2">
        <v>100</v>
      </c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</row>
    <row r="50" spans="1:25" x14ac:dyDescent="0.25">
      <c r="A50" t="str">
        <v>Bar</v>
      </c>
      <c r="B50" t="str">
        <v>CameoLedBar_12Ch</v>
      </c>
      <c r="C50" t="str">
        <v>Blue2</v>
      </c>
      <c r="D50">
        <v>48</v>
      </c>
      <c r="E50" s="2"/>
      <c r="F50" s="2"/>
      <c r="G50" s="2"/>
      <c r="H50" s="2"/>
      <c r="I50" s="2"/>
      <c r="J50" s="2"/>
      <c r="K50" s="2">
        <v>100</v>
      </c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</row>
    <row r="51" spans="1:25" x14ac:dyDescent="0.25">
      <c r="A51" t="str">
        <v>Bar</v>
      </c>
      <c r="B51" t="str">
        <v>CameoLedBar_12Ch</v>
      </c>
      <c r="C51" t="str">
        <v>Red3</v>
      </c>
      <c r="D51">
        <v>49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>
        <v>100</v>
      </c>
      <c r="P51" s="2"/>
      <c r="Q51" s="2"/>
      <c r="R51" s="2"/>
      <c r="S51" s="2"/>
      <c r="T51" s="2"/>
      <c r="U51" s="2"/>
      <c r="V51" s="2"/>
      <c r="W51" s="2"/>
      <c r="X51" s="2"/>
      <c r="Y51" s="2"/>
    </row>
    <row r="52" spans="1:25" x14ac:dyDescent="0.25">
      <c r="A52" t="str">
        <v>Bar</v>
      </c>
      <c r="B52" t="str">
        <v>CameoLedBar_12Ch</v>
      </c>
      <c r="C52" t="str">
        <v>Green3</v>
      </c>
      <c r="D52">
        <v>50</v>
      </c>
      <c r="E52" s="2"/>
      <c r="F52" s="2"/>
      <c r="G52" s="2"/>
      <c r="H52" s="2">
        <v>100</v>
      </c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</row>
    <row r="53" spans="1:25" x14ac:dyDescent="0.25">
      <c r="A53" t="str">
        <v>Bar</v>
      </c>
      <c r="B53" t="str">
        <v>CameoLedBar_12Ch</v>
      </c>
      <c r="C53" t="str">
        <v>Blue3</v>
      </c>
      <c r="D53">
        <v>51</v>
      </c>
      <c r="E53" s="2"/>
      <c r="F53" s="2"/>
      <c r="G53" s="2"/>
      <c r="H53" s="2"/>
      <c r="I53" s="2"/>
      <c r="J53" s="2"/>
      <c r="K53" s="2"/>
      <c r="L53" s="2">
        <v>100</v>
      </c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</row>
    <row r="54" spans="1:25" x14ac:dyDescent="0.25">
      <c r="A54" t="str">
        <v>LED hinten rechts</v>
      </c>
      <c r="B54" t="str">
        <v>CameoPixBar650CPro_3Ch1</v>
      </c>
      <c r="C54" t="str">
        <v>Red</v>
      </c>
      <c r="D54">
        <v>52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>
        <v>100</v>
      </c>
      <c r="Q54" s="2"/>
      <c r="R54" s="2"/>
      <c r="S54" s="2"/>
      <c r="T54" s="2"/>
      <c r="U54" s="2"/>
      <c r="V54" s="2"/>
      <c r="W54" s="2"/>
      <c r="X54" s="2"/>
    </row>
    <row r="55" spans="1:25" x14ac:dyDescent="0.25">
      <c r="A55" t="str">
        <v>LED hinten rechts</v>
      </c>
      <c r="B55" t="str">
        <v>CameoPixBar650CPro_3Ch1</v>
      </c>
      <c r="C55" t="str">
        <v>Green</v>
      </c>
      <c r="D55">
        <v>53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</row>
    <row r="56" spans="1:25" x14ac:dyDescent="0.25">
      <c r="A56" t="str">
        <v>LED hinten rechts</v>
      </c>
      <c r="B56" t="str">
        <v>CameoPixBar650CPro_3Ch1</v>
      </c>
      <c r="C56" t="str">
        <v>Blue</v>
      </c>
      <c r="D56">
        <v>54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</row>
    <row r="57" spans="1:25" x14ac:dyDescent="0.25"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</row>
    <row r="58" spans="1:25" x14ac:dyDescent="0.25"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</row>
    <row r="59" spans="1:25" x14ac:dyDescent="0.25"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</row>
    <row r="60" spans="1:25" x14ac:dyDescent="0.25"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</row>
    <row r="61" spans="1:25" x14ac:dyDescent="0.25"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</row>
    <row r="62" spans="1:25" x14ac:dyDescent="0.25"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</row>
    <row r="63" spans="1:25" x14ac:dyDescent="0.25"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</row>
    <row r="64" spans="1:25" x14ac:dyDescent="0.25"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</row>
    <row r="65" spans="5:24" x14ac:dyDescent="0.25"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</row>
    <row r="66" spans="5:24" x14ac:dyDescent="0.25"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</row>
    <row r="67" spans="5:24" x14ac:dyDescent="0.25"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</row>
    <row r="68" spans="5:24" x14ac:dyDescent="0.25"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</row>
    <row r="69" spans="5:24" x14ac:dyDescent="0.25"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</row>
    <row r="70" spans="5:24" x14ac:dyDescent="0.25"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</row>
    <row r="71" spans="5:24" x14ac:dyDescent="0.25"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</row>
    <row r="72" spans="5:24" x14ac:dyDescent="0.25"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</row>
    <row r="73" spans="5:24" x14ac:dyDescent="0.25"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</row>
    <row r="74" spans="5:24" x14ac:dyDescent="0.25"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</row>
    <row r="75" spans="5:24" x14ac:dyDescent="0.25"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</row>
    <row r="76" spans="5:24" x14ac:dyDescent="0.25"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</row>
    <row r="77" spans="5:24" x14ac:dyDescent="0.25"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</row>
    <row r="78" spans="5:24" x14ac:dyDescent="0.25"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</row>
    <row r="79" spans="5:24" x14ac:dyDescent="0.25"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</row>
    <row r="80" spans="5:24" x14ac:dyDescent="0.25"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</row>
    <row r="81" spans="5:24" x14ac:dyDescent="0.25"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</row>
    <row r="82" spans="5:24" x14ac:dyDescent="0.25"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</row>
    <row r="83" spans="5:24" x14ac:dyDescent="0.25"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</row>
    <row r="84" spans="5:24" x14ac:dyDescent="0.25"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</row>
    <row r="85" spans="5:24" x14ac:dyDescent="0.25"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</row>
    <row r="86" spans="5:24" x14ac:dyDescent="0.25"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</row>
    <row r="87" spans="5:24" x14ac:dyDescent="0.25"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</row>
    <row r="88" spans="5:24" x14ac:dyDescent="0.25"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</row>
    <row r="89" spans="5:24" x14ac:dyDescent="0.25"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</row>
    <row r="90" spans="5:24" x14ac:dyDescent="0.25"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</row>
    <row r="91" spans="5:24" x14ac:dyDescent="0.25"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</row>
    <row r="92" spans="5:24" x14ac:dyDescent="0.25"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</row>
    <row r="93" spans="5:24" x14ac:dyDescent="0.25"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</row>
    <row r="94" spans="5:24" x14ac:dyDescent="0.25"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</row>
    <row r="95" spans="5:24" x14ac:dyDescent="0.25"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</row>
    <row r="96" spans="5:24" x14ac:dyDescent="0.25"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</row>
    <row r="97" spans="5:24" x14ac:dyDescent="0.25"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</row>
    <row r="98" spans="5:24" x14ac:dyDescent="0.25"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</row>
    <row r="99" spans="5:24" x14ac:dyDescent="0.25"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</row>
    <row r="100" spans="5:24" x14ac:dyDescent="0.25"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</row>
    <row r="101" spans="5:24" x14ac:dyDescent="0.25"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</row>
    <row r="102" spans="5:24" x14ac:dyDescent="0.25"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</row>
    <row r="103" spans="5:24" x14ac:dyDescent="0.25"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</row>
    <row r="104" spans="5:24" x14ac:dyDescent="0.25"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</row>
    <row r="105" spans="5:24" x14ac:dyDescent="0.25"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</row>
    <row r="106" spans="5:24" x14ac:dyDescent="0.25"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</row>
    <row r="107" spans="5:24" x14ac:dyDescent="0.25"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</row>
    <row r="108" spans="5:24" x14ac:dyDescent="0.25"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</row>
    <row r="109" spans="5:24" x14ac:dyDescent="0.25"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</row>
    <row r="110" spans="5:24" x14ac:dyDescent="0.25"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</row>
    <row r="111" spans="5:24" x14ac:dyDescent="0.25"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</row>
    <row r="112" spans="5:24" x14ac:dyDescent="0.25"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</row>
    <row r="113" spans="5:24" x14ac:dyDescent="0.25"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</row>
    <row r="114" spans="5:24" x14ac:dyDescent="0.25"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</row>
    <row r="115" spans="5:24" x14ac:dyDescent="0.25"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</row>
    <row r="116" spans="5:24" x14ac:dyDescent="0.25"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</row>
    <row r="117" spans="5:24" x14ac:dyDescent="0.25"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</row>
    <row r="118" spans="5:24" x14ac:dyDescent="0.25"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</row>
    <row r="119" spans="5:24" x14ac:dyDescent="0.25"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</row>
    <row r="120" spans="5:24" x14ac:dyDescent="0.25"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</row>
    <row r="121" spans="5:24" x14ac:dyDescent="0.25"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</row>
    <row r="122" spans="5:24" x14ac:dyDescent="0.25"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</row>
    <row r="123" spans="5:24" x14ac:dyDescent="0.25"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</row>
    <row r="124" spans="5:24" x14ac:dyDescent="0.25"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</row>
    <row r="125" spans="5:24" x14ac:dyDescent="0.25"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</row>
    <row r="126" spans="5:24" x14ac:dyDescent="0.25"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</row>
    <row r="127" spans="5:24" x14ac:dyDescent="0.25"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</row>
    <row r="128" spans="5:24" x14ac:dyDescent="0.25"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</row>
    <row r="129" spans="5:24" x14ac:dyDescent="0.25"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</row>
    <row r="130" spans="5:24" x14ac:dyDescent="0.25"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</row>
    <row r="131" spans="5:24" x14ac:dyDescent="0.25"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</row>
    <row r="132" spans="5:24" x14ac:dyDescent="0.25"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</row>
    <row r="133" spans="5:24" x14ac:dyDescent="0.25"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</row>
    <row r="134" spans="5:24" x14ac:dyDescent="0.25"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</row>
    <row r="135" spans="5:24" x14ac:dyDescent="0.25"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</row>
    <row r="136" spans="5:24" x14ac:dyDescent="0.25"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</row>
    <row r="137" spans="5:24" x14ac:dyDescent="0.25"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</row>
    <row r="138" spans="5:24" x14ac:dyDescent="0.25"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</row>
    <row r="139" spans="5:24" x14ac:dyDescent="0.25"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</row>
    <row r="140" spans="5:24" x14ac:dyDescent="0.25"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</row>
    <row r="141" spans="5:24" x14ac:dyDescent="0.25"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</row>
    <row r="142" spans="5:24" x14ac:dyDescent="0.25"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</row>
    <row r="143" spans="5:24" x14ac:dyDescent="0.25"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</row>
    <row r="144" spans="5:24" x14ac:dyDescent="0.25"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</row>
    <row r="145" spans="5:24" x14ac:dyDescent="0.25"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</row>
    <row r="146" spans="5:24" x14ac:dyDescent="0.25"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</row>
    <row r="147" spans="5:24" x14ac:dyDescent="0.25"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</row>
    <row r="148" spans="5:24" x14ac:dyDescent="0.25"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</row>
    <row r="149" spans="5:24" x14ac:dyDescent="0.25"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</row>
    <row r="150" spans="5:24" x14ac:dyDescent="0.25"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</row>
    <row r="151" spans="5:24" x14ac:dyDescent="0.25"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</row>
    <row r="152" spans="5:24" x14ac:dyDescent="0.25"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</row>
    <row r="153" spans="5:24" x14ac:dyDescent="0.25"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</row>
    <row r="154" spans="5:24" x14ac:dyDescent="0.25"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</row>
    <row r="155" spans="5:24" x14ac:dyDescent="0.25"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</row>
    <row r="156" spans="5:24" x14ac:dyDescent="0.25"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</row>
    <row r="157" spans="5:24" x14ac:dyDescent="0.25"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</row>
    <row r="158" spans="5:24" x14ac:dyDescent="0.25"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</row>
    <row r="159" spans="5:24" x14ac:dyDescent="0.25"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</row>
    <row r="160" spans="5:24" x14ac:dyDescent="0.25"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</row>
    <row r="161" spans="5:24" x14ac:dyDescent="0.25"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</row>
    <row r="162" spans="5:24" x14ac:dyDescent="0.25"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</row>
    <row r="163" spans="5:24" x14ac:dyDescent="0.25"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</row>
    <row r="164" spans="5:24" x14ac:dyDescent="0.25"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</row>
    <row r="165" spans="5:24" x14ac:dyDescent="0.25"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</row>
    <row r="166" spans="5:24" x14ac:dyDescent="0.25"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</row>
    <row r="167" spans="5:24" x14ac:dyDescent="0.25"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</row>
    <row r="168" spans="5:24" x14ac:dyDescent="0.25"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</row>
    <row r="169" spans="5:24" x14ac:dyDescent="0.25"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</row>
    <row r="170" spans="5:24" x14ac:dyDescent="0.25"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</row>
    <row r="171" spans="5:24" x14ac:dyDescent="0.25"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</row>
    <row r="172" spans="5:24" x14ac:dyDescent="0.25"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</row>
    <row r="173" spans="5:24" x14ac:dyDescent="0.25"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</row>
    <row r="174" spans="5:24" x14ac:dyDescent="0.25"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</row>
    <row r="175" spans="5:24" x14ac:dyDescent="0.25"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</row>
    <row r="176" spans="5:24" x14ac:dyDescent="0.25"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</row>
    <row r="177" spans="5:24" x14ac:dyDescent="0.25"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</row>
    <row r="178" spans="5:24" x14ac:dyDescent="0.25"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</row>
    <row r="179" spans="5:24" x14ac:dyDescent="0.25"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</row>
    <row r="180" spans="5:24" x14ac:dyDescent="0.25"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</row>
    <row r="181" spans="5:24" x14ac:dyDescent="0.25"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</row>
    <row r="182" spans="5:24" x14ac:dyDescent="0.25"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</row>
    <row r="183" spans="5:24" x14ac:dyDescent="0.25"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</row>
    <row r="184" spans="5:24" x14ac:dyDescent="0.25"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</row>
    <row r="185" spans="5:24" x14ac:dyDescent="0.25"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</row>
    <row r="186" spans="5:24" x14ac:dyDescent="0.25"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</row>
    <row r="187" spans="5:24" x14ac:dyDescent="0.25"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</row>
    <row r="188" spans="5:24" x14ac:dyDescent="0.25"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</row>
    <row r="189" spans="5:24" x14ac:dyDescent="0.25"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</row>
    <row r="190" spans="5:24" x14ac:dyDescent="0.25"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</row>
    <row r="191" spans="5:24" x14ac:dyDescent="0.25"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</row>
    <row r="192" spans="5:24" x14ac:dyDescent="0.25"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</row>
    <row r="193" spans="5:24" x14ac:dyDescent="0.25"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</row>
    <row r="194" spans="5:24" x14ac:dyDescent="0.25"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</row>
    <row r="195" spans="5:24" x14ac:dyDescent="0.25"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</row>
    <row r="196" spans="5:24" x14ac:dyDescent="0.25"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</row>
    <row r="197" spans="5:24" x14ac:dyDescent="0.25"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</row>
    <row r="198" spans="5:24" x14ac:dyDescent="0.25"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</row>
    <row r="199" spans="5:24" x14ac:dyDescent="0.25"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</row>
    <row r="200" spans="5:24" x14ac:dyDescent="0.25"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</row>
    <row r="201" spans="5:24" x14ac:dyDescent="0.25"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</row>
    <row r="202" spans="5:24" x14ac:dyDescent="0.25"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</row>
    <row r="203" spans="5:24" x14ac:dyDescent="0.25"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</row>
    <row r="204" spans="5:24" x14ac:dyDescent="0.25"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</row>
    <row r="205" spans="5:24" x14ac:dyDescent="0.25"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</row>
    <row r="206" spans="5:24" x14ac:dyDescent="0.25"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</row>
    <row r="207" spans="5:24" x14ac:dyDescent="0.25"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</row>
    <row r="208" spans="5:24" x14ac:dyDescent="0.25"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</row>
    <row r="209" spans="5:24" x14ac:dyDescent="0.25"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</row>
    <row r="210" spans="5:24" x14ac:dyDescent="0.25"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</row>
    <row r="211" spans="5:24" x14ac:dyDescent="0.25"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</row>
    <row r="212" spans="5:24" x14ac:dyDescent="0.25"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</row>
    <row r="213" spans="5:24" x14ac:dyDescent="0.25"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</row>
    <row r="214" spans="5:24" x14ac:dyDescent="0.25"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</row>
    <row r="215" spans="5:24" x14ac:dyDescent="0.25"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</row>
    <row r="216" spans="5:24" x14ac:dyDescent="0.25"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</row>
    <row r="217" spans="5:24" x14ac:dyDescent="0.25"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</row>
    <row r="218" spans="5:24" x14ac:dyDescent="0.25"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</row>
    <row r="219" spans="5:24" x14ac:dyDescent="0.25"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</row>
    <row r="220" spans="5:24" x14ac:dyDescent="0.25"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</row>
    <row r="221" spans="5:24" x14ac:dyDescent="0.25"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</row>
    <row r="222" spans="5:24" x14ac:dyDescent="0.25"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</row>
    <row r="223" spans="5:24" x14ac:dyDescent="0.25"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</row>
    <row r="224" spans="5:24" x14ac:dyDescent="0.25"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</row>
    <row r="225" spans="5:24" x14ac:dyDescent="0.25"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</row>
    <row r="226" spans="5:24" x14ac:dyDescent="0.25"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</row>
    <row r="227" spans="5:24" x14ac:dyDescent="0.25"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</row>
    <row r="228" spans="5:24" x14ac:dyDescent="0.25"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</row>
    <row r="229" spans="5:24" x14ac:dyDescent="0.25"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</row>
    <row r="230" spans="5:24" x14ac:dyDescent="0.25"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</row>
    <row r="231" spans="5:24" x14ac:dyDescent="0.25"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</row>
    <row r="232" spans="5:24" x14ac:dyDescent="0.25"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</row>
    <row r="233" spans="5:24" x14ac:dyDescent="0.25"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</row>
    <row r="234" spans="5:24" x14ac:dyDescent="0.25"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</row>
    <row r="235" spans="5:24" x14ac:dyDescent="0.25"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</row>
    <row r="236" spans="5:24" x14ac:dyDescent="0.25"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</row>
    <row r="237" spans="5:24" x14ac:dyDescent="0.25"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</row>
    <row r="238" spans="5:24" x14ac:dyDescent="0.25"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</row>
    <row r="239" spans="5:24" x14ac:dyDescent="0.25"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</row>
    <row r="240" spans="5:24" x14ac:dyDescent="0.25"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</row>
    <row r="241" spans="5:24" x14ac:dyDescent="0.25"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</row>
    <row r="242" spans="5:24" x14ac:dyDescent="0.25"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</row>
    <row r="243" spans="5:24" x14ac:dyDescent="0.25"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</row>
    <row r="244" spans="5:24" x14ac:dyDescent="0.25"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</row>
    <row r="245" spans="5:24" x14ac:dyDescent="0.25"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</row>
    <row r="246" spans="5:24" x14ac:dyDescent="0.25"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</row>
    <row r="247" spans="5:24" x14ac:dyDescent="0.25"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</row>
    <row r="248" spans="5:24" x14ac:dyDescent="0.25"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</row>
    <row r="249" spans="5:24" x14ac:dyDescent="0.25"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</row>
    <row r="250" spans="5:24" x14ac:dyDescent="0.25"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</row>
    <row r="251" spans="5:24" x14ac:dyDescent="0.25"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</row>
    <row r="252" spans="5:24" x14ac:dyDescent="0.25"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</row>
    <row r="253" spans="5:24" x14ac:dyDescent="0.25"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</row>
    <row r="254" spans="5:24" x14ac:dyDescent="0.25"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</row>
    <row r="255" spans="5:24" x14ac:dyDescent="0.25"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</row>
    <row r="256" spans="5:24" x14ac:dyDescent="0.25"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</row>
    <row r="257" spans="5:24" x14ac:dyDescent="0.25"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</row>
    <row r="258" spans="5:24" x14ac:dyDescent="0.25"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</row>
    <row r="259" spans="5:24" x14ac:dyDescent="0.25"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</row>
    <row r="260" spans="5:24" x14ac:dyDescent="0.25"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</row>
    <row r="261" spans="5:24" x14ac:dyDescent="0.25"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</row>
    <row r="262" spans="5:24" x14ac:dyDescent="0.25"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</row>
    <row r="263" spans="5:24" x14ac:dyDescent="0.25"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</row>
    <row r="264" spans="5:24" x14ac:dyDescent="0.25"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</row>
    <row r="265" spans="5:24" x14ac:dyDescent="0.25"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</row>
    <row r="266" spans="5:24" x14ac:dyDescent="0.25"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</row>
    <row r="267" spans="5:24" x14ac:dyDescent="0.25"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</row>
    <row r="268" spans="5:24" x14ac:dyDescent="0.25"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</row>
    <row r="269" spans="5:24" x14ac:dyDescent="0.25"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</row>
    <row r="270" spans="5:24" x14ac:dyDescent="0.25"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</row>
    <row r="271" spans="5:24" x14ac:dyDescent="0.25"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</row>
    <row r="272" spans="5:24" x14ac:dyDescent="0.25"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</row>
    <row r="273" spans="5:24" x14ac:dyDescent="0.25"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</row>
    <row r="274" spans="5:24" x14ac:dyDescent="0.25"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</row>
    <row r="275" spans="5:24" x14ac:dyDescent="0.25"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</row>
    <row r="276" spans="5:24" x14ac:dyDescent="0.25"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</row>
  </sheetData>
  <phoneticPr fontId="10" type="noConversion"/>
  <conditionalFormatting sqref="C3">
    <cfRule type="containsText" dxfId="11" priority="5" operator="containsText" text="Intensity">
      <formula>NOT(ISERROR(SEARCH("Intensity",C3)))</formula>
    </cfRule>
    <cfRule type="containsText" dxfId="10" priority="6" operator="containsText" text="Blue">
      <formula>NOT(ISERROR(SEARCH("Blue",C3)))</formula>
    </cfRule>
    <cfRule type="containsText" dxfId="9" priority="7" operator="containsText" text="Green">
      <formula>NOT(ISERROR(SEARCH("Green",C3)))</formula>
    </cfRule>
    <cfRule type="containsText" dxfId="8" priority="8" operator="containsText" text="Red">
      <formula>NOT(ISERROR(SEARCH("Red",C3)))</formula>
    </cfRule>
  </conditionalFormatting>
  <conditionalFormatting sqref="C4:C54">
    <cfRule type="containsText" dxfId="7" priority="1" operator="containsText" text="Intensity">
      <formula>NOT(ISERROR(SEARCH("Intensity",C4)))</formula>
    </cfRule>
    <cfRule type="containsText" dxfId="6" priority="2" operator="containsText" text="Blue">
      <formula>NOT(ISERROR(SEARCH("Blue",C4)))</formula>
    </cfRule>
    <cfRule type="containsText" dxfId="5" priority="3" operator="containsText" text="Green">
      <formula>NOT(ISERROR(SEARCH("Green",C4)))</formula>
    </cfRule>
    <cfRule type="containsText" dxfId="4" priority="4" operator="containsText" text="Red">
      <formula>NOT(ISERROR(SEARCH("Red",C4)))</formula>
    </cfRule>
  </conditionalFormatting>
  <dataValidations count="1">
    <dataValidation type="list" allowBlank="1" sqref="V3:Y52 E3:U276 V53:X276" xr:uid="{FA1D8069-285C-41F3-9A98-58E4C0BB395D}">
      <formula1>ChannelLevelAndColorSuggestions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8A376-98AB-445E-B052-12975CD46E2D}">
  <sheetPr codeName="Sheet3">
    <tabColor theme="7" tint="0.79998168889431442"/>
  </sheetPr>
  <dimension ref="A1:J39"/>
  <sheetViews>
    <sheetView tabSelected="1" workbookViewId="0">
      <selection activeCell="A2" sqref="A2:D39"/>
    </sheetView>
  </sheetViews>
  <sheetFormatPr defaultRowHeight="15" x14ac:dyDescent="0.25"/>
  <cols>
    <col min="1" max="1" width="31.42578125" bestFit="1" customWidth="1"/>
    <col min="2" max="2" width="32.28515625" bestFit="1" customWidth="1"/>
    <col min="3" max="3" width="12.85546875" bestFit="1" customWidth="1"/>
    <col min="4" max="5" width="14.85546875" customWidth="1"/>
    <col min="6" max="6" width="13.5703125" bestFit="1" customWidth="1"/>
    <col min="10" max="10" width="8.140625" bestFit="1" customWidth="1"/>
    <col min="11" max="11" width="17.7109375" bestFit="1" customWidth="1"/>
    <col min="12" max="12" width="7.7109375" bestFit="1" customWidth="1"/>
    <col min="13" max="13" width="3" bestFit="1" customWidth="1"/>
  </cols>
  <sheetData>
    <row r="1" spans="1:10" x14ac:dyDescent="0.25">
      <c r="A1" s="1" t="s">
        <v>2</v>
      </c>
      <c r="B1" s="1" t="s">
        <v>12</v>
      </c>
      <c r="C1" s="1" t="s">
        <v>13</v>
      </c>
      <c r="D1" s="1" t="s">
        <v>14</v>
      </c>
      <c r="E1" s="1" t="s">
        <v>82</v>
      </c>
      <c r="F1" s="1"/>
      <c r="J1" s="1"/>
    </row>
    <row r="2" spans="1:10" x14ac:dyDescent="0.25">
      <c r="A2" s="2" t="s">
        <v>49</v>
      </c>
      <c r="B2" s="2" t="s">
        <v>37</v>
      </c>
      <c r="C2" s="2">
        <v>1</v>
      </c>
      <c r="D2" cm="1">
        <f t="array" ref="D2">IF(F2&lt;&gt;"",_xll.AuLiComGetFixtureChannelCount(A2),"")</f>
        <v>1</v>
      </c>
      <c r="E2">
        <f>C2+D2-1</f>
        <v>1</v>
      </c>
      <c r="F2" s="3" t="str" cm="1">
        <f t="array" ref="F2">IF(AND(A2&lt;&gt;"",B2&lt;&gt;"",C2&lt;&gt;""),_xll.AuLiComSetFixture(DmxVersion,A2,B2,C2),"")</f>
        <v>Already exists</v>
      </c>
    </row>
    <row r="3" spans="1:10" x14ac:dyDescent="0.25">
      <c r="A3" s="2" t="s">
        <v>39</v>
      </c>
      <c r="B3" s="2" t="s">
        <v>38</v>
      </c>
      <c r="C3" s="2">
        <v>2</v>
      </c>
      <c r="D3" cm="1">
        <f t="array" ref="D3">IF(F3&lt;&gt;"",_xll.AuLiComGetFixtureChannelCount(A3),"")</f>
        <v>1</v>
      </c>
      <c r="E3">
        <f t="shared" ref="E3:E39" si="0">C3+D3-1</f>
        <v>2</v>
      </c>
      <c r="F3" s="3" t="str" cm="1">
        <f t="array" ref="F3">IF(AND(A3&lt;&gt;"",B3&lt;&gt;"",C3&lt;&gt;""),_xll.AuLiComSetFixture(DmxVersion,A3,B3,C3),"")</f>
        <v>Already exists</v>
      </c>
    </row>
    <row r="4" spans="1:10" x14ac:dyDescent="0.25">
      <c r="A4" s="2" t="s">
        <v>50</v>
      </c>
      <c r="B4" s="2" t="s">
        <v>11</v>
      </c>
      <c r="C4" s="2">
        <v>3</v>
      </c>
      <c r="D4" cm="1">
        <f t="array" ref="D4">IF(F4&lt;&gt;"",_xll.AuLiComGetFixtureChannelCount(A4),"")</f>
        <v>1</v>
      </c>
      <c r="E4">
        <f t="shared" si="0"/>
        <v>3</v>
      </c>
      <c r="F4" s="3" t="str" cm="1">
        <f t="array" ref="F4">IF(AND(A4&lt;&gt;"",B4&lt;&gt;"",C4&lt;&gt;""),_xll.AuLiComSetFixture(DmxVersion,A4,B4,C4),"")</f>
        <v>Already exists</v>
      </c>
    </row>
    <row r="5" spans="1:10" x14ac:dyDescent="0.25">
      <c r="A5" s="2" t="s">
        <v>51</v>
      </c>
      <c r="B5" s="2" t="s">
        <v>52</v>
      </c>
      <c r="C5" s="2">
        <v>4</v>
      </c>
      <c r="D5" cm="1">
        <f t="array" ref="D5">IF(F5&lt;&gt;"",_xll.AuLiComGetFixtureChannelCount(A5),"")</f>
        <v>1</v>
      </c>
      <c r="E5">
        <f t="shared" si="0"/>
        <v>4</v>
      </c>
      <c r="F5" s="3" t="str" cm="1">
        <f t="array" ref="F5">IF(AND(A5&lt;&gt;"",B5&lt;&gt;"",C5&lt;&gt;""),_xll.AuLiComSetFixture(DmxVersion,A5,B5,C5),"")</f>
        <v>Already exists</v>
      </c>
    </row>
    <row r="6" spans="1:10" x14ac:dyDescent="0.25">
      <c r="A6" s="2" t="s">
        <v>53</v>
      </c>
      <c r="B6" s="2" t="s">
        <v>54</v>
      </c>
      <c r="C6" s="2">
        <v>5</v>
      </c>
      <c r="D6" cm="1">
        <f t="array" ref="D6">IF(F6&lt;&gt;"",_xll.AuLiComGetFixtureChannelCount(A6),"")</f>
        <v>1</v>
      </c>
      <c r="E6">
        <f t="shared" si="0"/>
        <v>5</v>
      </c>
      <c r="F6" s="3" t="str" cm="1">
        <f t="array" ref="F6">IF(AND(A6&lt;&gt;"",B6&lt;&gt;"",C6&lt;&gt;""),_xll.AuLiComSetFixture(DmxVersion,A6,B6,C6),"")</f>
        <v>Already exists</v>
      </c>
    </row>
    <row r="7" spans="1:10" x14ac:dyDescent="0.25">
      <c r="A7" s="2" t="s">
        <v>40</v>
      </c>
      <c r="B7" s="2" t="s">
        <v>55</v>
      </c>
      <c r="C7" s="2">
        <v>6</v>
      </c>
      <c r="D7" cm="1">
        <f t="array" ref="D7">IF(F7&lt;&gt;"",_xll.AuLiComGetFixtureChannelCount(A7),"")</f>
        <v>1</v>
      </c>
      <c r="E7">
        <f t="shared" si="0"/>
        <v>6</v>
      </c>
      <c r="F7" s="3" t="str" cm="1">
        <f t="array" ref="F7">IF(AND(A7&lt;&gt;"",B7&lt;&gt;"",C7&lt;&gt;""),_xll.AuLiComSetFixture(DmxVersion,A7,B7,C7),"")</f>
        <v>Already exists</v>
      </c>
    </row>
    <row r="8" spans="1:10" x14ac:dyDescent="0.25">
      <c r="A8" s="2" t="s">
        <v>41</v>
      </c>
      <c r="B8" s="2" t="s">
        <v>55</v>
      </c>
      <c r="C8" s="2">
        <v>7</v>
      </c>
      <c r="D8" cm="1">
        <f t="array" ref="D8">IF(F8&lt;&gt;"",_xll.AuLiComGetFixtureChannelCount(A8),"")</f>
        <v>1</v>
      </c>
      <c r="E8">
        <f t="shared" si="0"/>
        <v>7</v>
      </c>
      <c r="F8" s="3" t="str" cm="1">
        <f t="array" ref="F8">IF(AND(A8&lt;&gt;"",B8&lt;&gt;"",C8&lt;&gt;""),_xll.AuLiComSetFixture(DmxVersion,A8,B8,C8),"")</f>
        <v>Already exists</v>
      </c>
    </row>
    <row r="9" spans="1:10" x14ac:dyDescent="0.25">
      <c r="A9" s="2" t="s">
        <v>56</v>
      </c>
      <c r="B9" s="2" t="s">
        <v>57</v>
      </c>
      <c r="C9" s="2">
        <v>8</v>
      </c>
      <c r="D9" cm="1">
        <f t="array" ref="D9">IF(F9&lt;&gt;"",_xll.AuLiComGetFixtureChannelCount(A9),"")</f>
        <v>1</v>
      </c>
      <c r="E9">
        <f t="shared" si="0"/>
        <v>8</v>
      </c>
      <c r="F9" s="3" t="str" cm="1">
        <f t="array" ref="F9">IF(AND(A9&lt;&gt;"",B9&lt;&gt;"",C9&lt;&gt;""),_xll.AuLiComSetFixture(DmxVersion,A9,B9,C9),"")</f>
        <v>Already exists</v>
      </c>
    </row>
    <row r="10" spans="1:10" x14ac:dyDescent="0.25">
      <c r="A10" s="2" t="s">
        <v>58</v>
      </c>
      <c r="B10" s="2" t="s">
        <v>57</v>
      </c>
      <c r="C10" s="2">
        <v>9</v>
      </c>
      <c r="D10" cm="1">
        <f t="array" ref="D10">IF(F10&lt;&gt;"",_xll.AuLiComGetFixtureChannelCount(A10),"")</f>
        <v>1</v>
      </c>
      <c r="E10">
        <f t="shared" si="0"/>
        <v>9</v>
      </c>
      <c r="F10" s="3" t="str" cm="1">
        <f t="array" ref="F10">IF(AND(A10&lt;&gt;"",B10&lt;&gt;"",C10&lt;&gt;""),_xll.AuLiComSetFixture(DmxVersion,A10,B10,C10),"")</f>
        <v>Already exists</v>
      </c>
    </row>
    <row r="11" spans="1:10" x14ac:dyDescent="0.25">
      <c r="A11" s="2" t="s">
        <v>59</v>
      </c>
      <c r="B11" s="2" t="s">
        <v>57</v>
      </c>
      <c r="C11" s="2">
        <v>10</v>
      </c>
      <c r="D11" cm="1">
        <f t="array" ref="D11">IF(F11&lt;&gt;"",_xll.AuLiComGetFixtureChannelCount(A11),"")</f>
        <v>1</v>
      </c>
      <c r="E11">
        <f t="shared" si="0"/>
        <v>10</v>
      </c>
      <c r="F11" s="3" t="str" cm="1">
        <f t="array" ref="F11">IF(AND(A11&lt;&gt;"",B11&lt;&gt;"",C11&lt;&gt;""),_xll.AuLiComSetFixture(DmxVersion,A11,B11,C11),"")</f>
        <v>Already exists</v>
      </c>
    </row>
    <row r="12" spans="1:10" x14ac:dyDescent="0.25">
      <c r="A12" s="2" t="s">
        <v>60</v>
      </c>
      <c r="B12" s="2" t="s">
        <v>57</v>
      </c>
      <c r="C12" s="2">
        <v>11</v>
      </c>
      <c r="D12" cm="1">
        <f t="array" ref="D12">IF(F12&lt;&gt;"",_xll.AuLiComGetFixtureChannelCount(A12),"")</f>
        <v>1</v>
      </c>
      <c r="E12">
        <f t="shared" si="0"/>
        <v>11</v>
      </c>
      <c r="F12" s="3" t="str" cm="1">
        <f t="array" ref="F12">IF(AND(A12&lt;&gt;"",B12&lt;&gt;"",C12&lt;&gt;""),_xll.AuLiComSetFixture(DmxVersion,A12,B12,C12),"")</f>
        <v>Already exists</v>
      </c>
    </row>
    <row r="13" spans="1:10" x14ac:dyDescent="0.25">
      <c r="A13" s="2" t="s">
        <v>61</v>
      </c>
      <c r="B13" s="2" t="s">
        <v>57</v>
      </c>
      <c r="C13" s="2">
        <v>12</v>
      </c>
      <c r="D13" cm="1">
        <f t="array" ref="D13">IF(F13&lt;&gt;"",_xll.AuLiComGetFixtureChannelCount(A13),"")</f>
        <v>1</v>
      </c>
      <c r="E13">
        <f t="shared" si="0"/>
        <v>12</v>
      </c>
      <c r="F13" s="3" t="str" cm="1">
        <f t="array" ref="F13">IF(AND(A13&lt;&gt;"",B13&lt;&gt;"",C13&lt;&gt;""),_xll.AuLiComSetFixture(DmxVersion,A13,B13,C13),"")</f>
        <v>Already exists</v>
      </c>
    </row>
    <row r="14" spans="1:10" x14ac:dyDescent="0.25">
      <c r="A14" s="2" t="s">
        <v>62</v>
      </c>
      <c r="B14" s="2" t="s">
        <v>37</v>
      </c>
      <c r="C14" s="2">
        <v>13</v>
      </c>
      <c r="D14" cm="1">
        <f t="array" ref="D14">IF(F14&lt;&gt;"",_xll.AuLiComGetFixtureChannelCount(A14),"")</f>
        <v>1</v>
      </c>
      <c r="E14">
        <f t="shared" si="0"/>
        <v>13</v>
      </c>
      <c r="F14" s="3" t="str" cm="1">
        <f t="array" ref="F14">IF(AND(A14&lt;&gt;"",B14&lt;&gt;"",C14&lt;&gt;""),_xll.AuLiComSetFixture(DmxVersion,A14,B14,C14),"")</f>
        <v>Already exists</v>
      </c>
    </row>
    <row r="15" spans="1:10" x14ac:dyDescent="0.25">
      <c r="A15" s="2" t="s">
        <v>63</v>
      </c>
      <c r="B15" s="2" t="s">
        <v>52</v>
      </c>
      <c r="C15" s="2">
        <v>14</v>
      </c>
      <c r="D15" cm="1">
        <f t="array" ref="D15">IF(F15&lt;&gt;"",_xll.AuLiComGetFixtureChannelCount(A15),"")</f>
        <v>1</v>
      </c>
      <c r="E15">
        <f t="shared" si="0"/>
        <v>14</v>
      </c>
      <c r="F15" s="3" t="str" cm="1">
        <f t="array" ref="F15">IF(AND(A15&lt;&gt;"",B15&lt;&gt;"",C15&lt;&gt;""),_xll.AuLiComSetFixture(DmxVersion,A15,B15,C15),"")</f>
        <v>Already exists</v>
      </c>
    </row>
    <row r="16" spans="1:10" x14ac:dyDescent="0.25">
      <c r="A16" s="2" t="s">
        <v>64</v>
      </c>
      <c r="B16" s="2" t="s">
        <v>37</v>
      </c>
      <c r="C16" s="2">
        <v>15</v>
      </c>
      <c r="D16" cm="1">
        <f t="array" ref="D16">IF(F16&lt;&gt;"",_xll.AuLiComGetFixtureChannelCount(A16),"")</f>
        <v>1</v>
      </c>
      <c r="E16">
        <f t="shared" si="0"/>
        <v>15</v>
      </c>
      <c r="F16" s="3" t="str" cm="1">
        <f t="array" ref="F16">IF(AND(A16&lt;&gt;"",B16&lt;&gt;"",C16&lt;&gt;""),_xll.AuLiComSetFixture(DmxVersion,A16,B16,C16),"")</f>
        <v>Already exists</v>
      </c>
    </row>
    <row r="17" spans="1:6" x14ac:dyDescent="0.25">
      <c r="A17" s="2" t="s">
        <v>65</v>
      </c>
      <c r="B17" s="2" t="s">
        <v>52</v>
      </c>
      <c r="C17" s="2">
        <v>16</v>
      </c>
      <c r="D17" cm="1">
        <f t="array" ref="D17">IF(F17&lt;&gt;"",_xll.AuLiComGetFixtureChannelCount(A17),"")</f>
        <v>1</v>
      </c>
      <c r="E17">
        <f t="shared" si="0"/>
        <v>16</v>
      </c>
      <c r="F17" s="3" t="str" cm="1">
        <f t="array" ref="F17">IF(AND(A17&lt;&gt;"",B17&lt;&gt;"",C17&lt;&gt;""),_xll.AuLiComSetFixture(DmxVersion,A17,B17,C17),"")</f>
        <v>Already exists</v>
      </c>
    </row>
    <row r="18" spans="1:6" x14ac:dyDescent="0.25">
      <c r="A18" s="2" t="s">
        <v>66</v>
      </c>
      <c r="B18" s="2" t="s">
        <v>84</v>
      </c>
      <c r="C18" s="2">
        <v>17</v>
      </c>
      <c r="D18" cm="1">
        <f t="array" ref="D18">IF(F18&lt;&gt;"",_xll.AuLiComGetFixtureChannelCount(A18),"")</f>
        <v>1</v>
      </c>
      <c r="E18">
        <f t="shared" si="0"/>
        <v>17</v>
      </c>
      <c r="F18" s="3" t="str" cm="1">
        <f t="array" ref="F18">IF(AND(A18&lt;&gt;"",B18&lt;&gt;"",C18&lt;&gt;""),_xll.AuLiComSetFixture(DmxVersion,A18,B18,C18),"")</f>
        <v>Already exists</v>
      </c>
    </row>
    <row r="19" spans="1:6" x14ac:dyDescent="0.25">
      <c r="A19" s="2" t="s">
        <v>67</v>
      </c>
      <c r="B19" s="2" t="s">
        <v>84</v>
      </c>
      <c r="C19" s="2">
        <v>18</v>
      </c>
      <c r="D19" cm="1">
        <f t="array" ref="D19">IF(F19&lt;&gt;"",_xll.AuLiComGetFixtureChannelCount(A19),"")</f>
        <v>1</v>
      </c>
      <c r="E19">
        <f t="shared" si="0"/>
        <v>18</v>
      </c>
      <c r="F19" s="3" t="str" cm="1">
        <f t="array" ref="F19">IF(AND(A19&lt;&gt;"",B19&lt;&gt;"",C19&lt;&gt;""),_xll.AuLiComSetFixture(DmxVersion,A19,B19,C19),"")</f>
        <v>Already exists</v>
      </c>
    </row>
    <row r="20" spans="1:6" x14ac:dyDescent="0.25">
      <c r="A20" s="2" t="s">
        <v>68</v>
      </c>
      <c r="B20" s="2" t="s">
        <v>84</v>
      </c>
      <c r="C20" s="2">
        <v>19</v>
      </c>
      <c r="D20" cm="1">
        <f t="array" ref="D20">IF(F20&lt;&gt;"",_xll.AuLiComGetFixtureChannelCount(A20),"")</f>
        <v>1</v>
      </c>
      <c r="E20">
        <f t="shared" si="0"/>
        <v>19</v>
      </c>
      <c r="F20" s="3" t="str" cm="1">
        <f t="array" ref="F20">IF(AND(A20&lt;&gt;"",B20&lt;&gt;"",C20&lt;&gt;""),_xll.AuLiComSetFixture(DmxVersion,A20,B20,C20),"")</f>
        <v>Already exists</v>
      </c>
    </row>
    <row r="21" spans="1:6" x14ac:dyDescent="0.25">
      <c r="A21" s="2" t="s">
        <v>69</v>
      </c>
      <c r="B21" s="2" t="s">
        <v>52</v>
      </c>
      <c r="C21" s="2">
        <v>20</v>
      </c>
      <c r="D21" cm="1">
        <f t="array" ref="D21">IF(F21&lt;&gt;"",_xll.AuLiComGetFixtureChannelCount(A21),"")</f>
        <v>1</v>
      </c>
      <c r="E21">
        <f t="shared" si="0"/>
        <v>20</v>
      </c>
      <c r="F21" s="3" t="str" cm="1">
        <f t="array" ref="F21">IF(AND(A21&lt;&gt;"",B21&lt;&gt;"",C21&lt;&gt;""),_xll.AuLiComSetFixture(DmxVersion,A21,B21,C21),"")</f>
        <v>Already exists</v>
      </c>
    </row>
    <row r="22" spans="1:6" x14ac:dyDescent="0.25">
      <c r="A22" s="2" t="s">
        <v>70</v>
      </c>
      <c r="B22" s="2" t="s">
        <v>84</v>
      </c>
      <c r="C22" s="2">
        <v>21</v>
      </c>
      <c r="D22" cm="1">
        <f t="array" ref="D22">IF(F22&lt;&gt;"",_xll.AuLiComGetFixtureChannelCount(A22),"")</f>
        <v>1</v>
      </c>
      <c r="E22">
        <f t="shared" si="0"/>
        <v>21</v>
      </c>
      <c r="F22" s="3" t="str" cm="1">
        <f t="array" ref="F22">IF(AND(A22&lt;&gt;"",B22&lt;&gt;"",C22&lt;&gt;""),_xll.AuLiComSetFixture(DmxVersion,A22,B22,C22),"")</f>
        <v>Already exists</v>
      </c>
    </row>
    <row r="23" spans="1:6" x14ac:dyDescent="0.25">
      <c r="A23" s="2" t="s">
        <v>71</v>
      </c>
      <c r="B23" s="2" t="s">
        <v>37</v>
      </c>
      <c r="C23" s="2">
        <v>22</v>
      </c>
      <c r="D23" cm="1">
        <f t="array" ref="D23">IF(F23&lt;&gt;"",_xll.AuLiComGetFixtureChannelCount(A23),"")</f>
        <v>1</v>
      </c>
      <c r="E23">
        <f t="shared" si="0"/>
        <v>22</v>
      </c>
      <c r="F23" s="3" t="str" cm="1">
        <f t="array" ref="F23">IF(AND(A23&lt;&gt;"",B23&lt;&gt;"",C23&lt;&gt;""),_xll.AuLiComSetFixture(DmxVersion,A23,B23,C23),"")</f>
        <v>Already exists</v>
      </c>
    </row>
    <row r="24" spans="1:6" x14ac:dyDescent="0.25">
      <c r="A24" s="2" t="s">
        <v>72</v>
      </c>
      <c r="B24" s="2" t="s">
        <v>52</v>
      </c>
      <c r="C24" s="2">
        <v>23</v>
      </c>
      <c r="D24" cm="1">
        <f t="array" ref="D24">IF(F24&lt;&gt;"",_xll.AuLiComGetFixtureChannelCount(A24),"")</f>
        <v>1</v>
      </c>
      <c r="E24">
        <f t="shared" si="0"/>
        <v>23</v>
      </c>
      <c r="F24" s="3" t="str" cm="1">
        <f t="array" ref="F24">IF(AND(A24&lt;&gt;"",B24&lt;&gt;"",C24&lt;&gt;""),_xll.AuLiComSetFixture(DmxVersion,A24,B24,C24),"")</f>
        <v>Already exists</v>
      </c>
    </row>
    <row r="25" spans="1:6" x14ac:dyDescent="0.25">
      <c r="A25" s="2" t="s">
        <v>73</v>
      </c>
      <c r="B25" s="2" t="s">
        <v>37</v>
      </c>
      <c r="C25" s="2">
        <v>24</v>
      </c>
      <c r="D25" cm="1">
        <f t="array" ref="D25">IF(F25&lt;&gt;"",_xll.AuLiComGetFixtureChannelCount(A25),"")</f>
        <v>1</v>
      </c>
      <c r="E25">
        <f t="shared" si="0"/>
        <v>24</v>
      </c>
      <c r="F25" s="3" t="str" cm="1">
        <f t="array" ref="F25">IF(AND(A25&lt;&gt;"",B25&lt;&gt;"",C25&lt;&gt;""),_xll.AuLiComSetFixture(DmxVersion,A25,B25,C25),"")</f>
        <v>Already exists</v>
      </c>
    </row>
    <row r="26" spans="1:6" x14ac:dyDescent="0.25">
      <c r="A26" s="2" t="s">
        <v>75</v>
      </c>
      <c r="B26" s="2" t="s">
        <v>74</v>
      </c>
      <c r="C26" s="2">
        <v>25</v>
      </c>
      <c r="D26" cm="1">
        <f t="array" ref="D26">IF(F26&lt;&gt;"",_xll.AuLiComGetFixtureChannelCount(A26),"")</f>
        <v>7</v>
      </c>
      <c r="E26">
        <f t="shared" si="0"/>
        <v>31</v>
      </c>
      <c r="F26" s="3" t="str" cm="1">
        <f t="array" ref="F26">IF(AND(A26&lt;&gt;"",B26&lt;&gt;"",C26&lt;&gt;""),_xll.AuLiComSetFixture(DmxVersion,A26,B26,C26),"")</f>
        <v>Already exists</v>
      </c>
    </row>
    <row r="27" spans="1:6" x14ac:dyDescent="0.25">
      <c r="A27" s="2" t="s">
        <v>42</v>
      </c>
      <c r="B27" s="2" t="s">
        <v>85</v>
      </c>
      <c r="C27" s="2">
        <v>32</v>
      </c>
      <c r="D27" cm="1">
        <f t="array" ref="D27">IF(F27&lt;&gt;"",_xll.AuLiComGetFixtureChannelCount(A27),"")</f>
        <v>1</v>
      </c>
      <c r="E27">
        <f t="shared" si="0"/>
        <v>32</v>
      </c>
      <c r="F27" s="3" t="str" cm="1">
        <f t="array" ref="F27">IF(AND(A27&lt;&gt;"",B27&lt;&gt;"",C27&lt;&gt;""),_xll.AuLiComSetFixture(DmxVersion,A27,B27,C27),"")</f>
        <v>Already exists</v>
      </c>
    </row>
    <row r="28" spans="1:6" x14ac:dyDescent="0.25">
      <c r="A28" s="2" t="s">
        <v>43</v>
      </c>
      <c r="B28" s="2" t="s">
        <v>37</v>
      </c>
      <c r="C28" s="2">
        <v>34</v>
      </c>
      <c r="D28" cm="1">
        <f t="array" ref="D28">IF(F28&lt;&gt;"",_xll.AuLiComGetFixtureChannelCount(A28),"")</f>
        <v>1</v>
      </c>
      <c r="E28">
        <f t="shared" si="0"/>
        <v>34</v>
      </c>
      <c r="F28" s="3" t="str" cm="1">
        <f t="array" ref="F28">IF(AND(A28&lt;&gt;"",B28&lt;&gt;"",C28&lt;&gt;""),_xll.AuLiComSetFixture(DmxVersion,A28,B28,C28),"")</f>
        <v>Already exists</v>
      </c>
    </row>
    <row r="29" spans="1:6" x14ac:dyDescent="0.25">
      <c r="A29" s="2" t="s">
        <v>44</v>
      </c>
      <c r="B29" s="2" t="s">
        <v>37</v>
      </c>
      <c r="C29" s="2">
        <v>35</v>
      </c>
      <c r="D29" cm="1">
        <f t="array" ref="D29">IF(F29&lt;&gt;"",_xll.AuLiComGetFixtureChannelCount(A29),"")</f>
        <v>1</v>
      </c>
      <c r="E29">
        <f t="shared" si="0"/>
        <v>35</v>
      </c>
      <c r="F29" s="3" t="str" cm="1">
        <f t="array" ref="F29">IF(AND(A29&lt;&gt;"",B29&lt;&gt;"",C29&lt;&gt;""),_xll.AuLiComSetFixture(DmxVersion,A29,B29,C29),"")</f>
        <v>Already exists</v>
      </c>
    </row>
    <row r="30" spans="1:6" x14ac:dyDescent="0.25">
      <c r="A30" s="2" t="s">
        <v>45</v>
      </c>
      <c r="B30" s="2" t="s">
        <v>37</v>
      </c>
      <c r="C30" s="2">
        <v>36</v>
      </c>
      <c r="D30" cm="1">
        <f t="array" ref="D30">IF(F30&lt;&gt;"",_xll.AuLiComGetFixtureChannelCount(A30),"")</f>
        <v>1</v>
      </c>
      <c r="E30">
        <f t="shared" si="0"/>
        <v>36</v>
      </c>
      <c r="F30" s="3" t="str" cm="1">
        <f t="array" ref="F30">IF(AND(A30&lt;&gt;"",B30&lt;&gt;"",C30&lt;&gt;""),_xll.AuLiComSetFixture(DmxVersion,A30,B30,C30),"")</f>
        <v>Already exists</v>
      </c>
    </row>
    <row r="31" spans="1:6" x14ac:dyDescent="0.25">
      <c r="A31" s="2" t="s">
        <v>46</v>
      </c>
      <c r="B31" s="2" t="s">
        <v>37</v>
      </c>
      <c r="C31" s="2">
        <v>37</v>
      </c>
      <c r="D31" cm="1">
        <f t="array" ref="D31">IF(F31&lt;&gt;"",_xll.AuLiComGetFixtureChannelCount(A31),"")</f>
        <v>1</v>
      </c>
      <c r="E31">
        <f t="shared" si="0"/>
        <v>37</v>
      </c>
      <c r="F31" s="3" t="str" cm="1">
        <f t="array" ref="F31">IF(AND(A31&lt;&gt;"",B31&lt;&gt;"",C31&lt;&gt;""),_xll.AuLiComSetFixture(DmxVersion,A31,B31,C31),"")</f>
        <v>Already exists</v>
      </c>
    </row>
    <row r="32" spans="1:6" x14ac:dyDescent="0.25">
      <c r="A32" s="2" t="s">
        <v>47</v>
      </c>
      <c r="B32" s="2" t="s">
        <v>37</v>
      </c>
      <c r="C32" s="2">
        <v>38</v>
      </c>
      <c r="D32" cm="1">
        <f t="array" ref="D32">IF(F32&lt;&gt;"",_xll.AuLiComGetFixtureChannelCount(A32),"")</f>
        <v>1</v>
      </c>
      <c r="E32">
        <f t="shared" si="0"/>
        <v>38</v>
      </c>
      <c r="F32" s="3" t="str" cm="1">
        <f t="array" ref="F32">IF(AND(A32&lt;&gt;"",B32&lt;&gt;"",C32&lt;&gt;""),_xll.AuLiComSetFixture(DmxVersion,A32,B32,C32),"")</f>
        <v>Already exists</v>
      </c>
    </row>
    <row r="33" spans="1:6" x14ac:dyDescent="0.25">
      <c r="A33" s="2" t="s">
        <v>48</v>
      </c>
      <c r="B33" s="2" t="s">
        <v>37</v>
      </c>
      <c r="C33" s="2">
        <v>39</v>
      </c>
      <c r="D33" cm="1">
        <f t="array" ref="D33">IF(F33&lt;&gt;"",_xll.AuLiComGetFixtureChannelCount(A33),"")</f>
        <v>1</v>
      </c>
      <c r="E33">
        <f t="shared" si="0"/>
        <v>39</v>
      </c>
      <c r="F33" s="3" t="str" cm="1">
        <f t="array" ref="F33">IF(AND(A33&lt;&gt;"",B33&lt;&gt;"",C33&lt;&gt;""),_xll.AuLiComSetFixture(DmxVersion,A33,B33,C33),"")</f>
        <v>Already exists</v>
      </c>
    </row>
    <row r="34" spans="1:6" x14ac:dyDescent="0.25">
      <c r="A34" s="2" t="s">
        <v>77</v>
      </c>
      <c r="B34" s="2" t="s">
        <v>52</v>
      </c>
      <c r="C34" s="2">
        <v>41</v>
      </c>
      <c r="D34" t="str" cm="1">
        <f t="array" ref="D34">IF(F34&lt;&gt;"",_xll.AuLiComGetFixtureChannelCount(A34),"")</f>
        <v>#ERROR: The given key 'Special über der Bühne' was not present in the dictionary.</v>
      </c>
      <c r="E34" t="e">
        <f t="shared" si="0"/>
        <v>#VALUE!</v>
      </c>
      <c r="F34" s="3" t="str" cm="1">
        <f t="array" ref="F34">IF(AND(A34&lt;&gt;"",B34&lt;&gt;"",C34&lt;&gt;""),_xll.AuLiComSetFixture(DmxVersion,A34,B34,C34),"")</f>
        <v>#ERROR: Channel 41 is already in use by Bar and cannot be used by Special über der Bühne (Start: 41, Count: 1)</v>
      </c>
    </row>
    <row r="35" spans="1:6" x14ac:dyDescent="0.25">
      <c r="A35" s="2" t="s">
        <v>77</v>
      </c>
      <c r="B35" s="2" t="s">
        <v>76</v>
      </c>
      <c r="C35" s="2">
        <v>42</v>
      </c>
      <c r="D35" t="str" cm="1">
        <f t="array" ref="D35">IF(F35&lt;&gt;"",_xll.AuLiComGetFixtureChannelCount(A35),"")</f>
        <v>#ERROR: The given key 'Special über der Bühne' was not present in the dictionary.</v>
      </c>
      <c r="E35" t="e">
        <f t="shared" si="0"/>
        <v>#VALUE!</v>
      </c>
      <c r="F35" s="3" t="str" cm="1">
        <f t="array" ref="F35">IF(AND(A35&lt;&gt;"",B35&lt;&gt;"",C35&lt;&gt;""),_xll.AuLiComSetFixture(DmxVersion,A35,B35,C35),"")</f>
        <v>#ERROR: Channel 42 is already in use by Bar and cannot be used by Special über der Bühne (Start: 42, Count: 1)</v>
      </c>
    </row>
    <row r="36" spans="1:6" x14ac:dyDescent="0.25">
      <c r="A36" s="2" t="s">
        <v>78</v>
      </c>
      <c r="B36" s="2" t="s">
        <v>83</v>
      </c>
      <c r="C36" s="2">
        <v>43</v>
      </c>
      <c r="D36" t="str" cm="1">
        <f t="array" ref="D36">IF(F36&lt;&gt;"",_xll.AuLiComGetFixtureChannelCount(A36),"")</f>
        <v>#ERROR: The given key 'LED vorne links' was not present in the dictionary.</v>
      </c>
      <c r="E36" t="e">
        <f t="shared" si="0"/>
        <v>#VALUE!</v>
      </c>
      <c r="F36" s="3" t="str" cm="1">
        <f t="array" ref="F36">IF(AND(A36&lt;&gt;"",B36&lt;&gt;"",C36&lt;&gt;""),_xll.AuLiComSetFixture(DmxVersion,A36,B36,C36),"")</f>
        <v>#ERROR: Channel 43 is already in use by Bar and cannot be used by LED vorne links (Start: 43, Count: 3)</v>
      </c>
    </row>
    <row r="37" spans="1:6" x14ac:dyDescent="0.25">
      <c r="A37" s="2" t="s">
        <v>79</v>
      </c>
      <c r="B37" s="2" t="s">
        <v>83</v>
      </c>
      <c r="C37" s="2">
        <v>46</v>
      </c>
      <c r="D37" t="str" cm="1">
        <f t="array" ref="D37">IF(F37&lt;&gt;"",_xll.AuLiComGetFixtureChannelCount(A37),"")</f>
        <v>#ERROR: The given key 'LED vorne rechts' was not present in the dictionary.</v>
      </c>
      <c r="E37" t="e">
        <f t="shared" si="0"/>
        <v>#VALUE!</v>
      </c>
      <c r="F37" s="3" t="str" cm="1">
        <f t="array" ref="F37">IF(AND(A37&lt;&gt;"",B37&lt;&gt;"",C37&lt;&gt;""),_xll.AuLiComSetFixture(DmxVersion,A37,B37,C37),"")</f>
        <v>#ERROR: Channel 46 is already in use by Bar and cannot be used by LED vorne rechts (Start: 46, Count: 3)</v>
      </c>
    </row>
    <row r="38" spans="1:6" x14ac:dyDescent="0.25">
      <c r="A38" s="2" t="s">
        <v>80</v>
      </c>
      <c r="B38" s="2" t="s">
        <v>83</v>
      </c>
      <c r="C38" s="2">
        <v>49</v>
      </c>
      <c r="D38" t="str" cm="1">
        <f t="array" ref="D38">IF(F38&lt;&gt;"",_xll.AuLiComGetFixtureChannelCount(A38),"")</f>
        <v>#ERROR: The given key 'LED hinten links' was not present in the dictionary.</v>
      </c>
      <c r="E38" t="e">
        <f t="shared" si="0"/>
        <v>#VALUE!</v>
      </c>
      <c r="F38" s="3" t="str" cm="1">
        <f t="array" ref="F38">IF(AND(A38&lt;&gt;"",B38&lt;&gt;"",C38&lt;&gt;""),_xll.AuLiComSetFixture(DmxVersion,A38,B38,C38),"")</f>
        <v>#ERROR: Channel 49 is already in use by Bar and cannot be used by LED hinten links (Start: 49, Count: 3)</v>
      </c>
    </row>
    <row r="39" spans="1:6" x14ac:dyDescent="0.25">
      <c r="A39" s="2" t="s">
        <v>81</v>
      </c>
      <c r="B39" s="2" t="s">
        <v>83</v>
      </c>
      <c r="C39" s="2">
        <v>52</v>
      </c>
      <c r="D39" cm="1">
        <f t="array" ref="D39">IF(F39&lt;&gt;"",_xll.AuLiComGetFixtureChannelCount(A39),"")</f>
        <v>3</v>
      </c>
      <c r="E39">
        <f t="shared" si="0"/>
        <v>54</v>
      </c>
      <c r="F39" s="3" t="str" cm="1">
        <f t="array" ref="F39">IF(AND(A39&lt;&gt;"",B39&lt;&gt;"",C39&lt;&gt;""),_xll.AuLiComSetFixture(DmxVersion,A39,B39,C39),"")</f>
        <v>Already exists</v>
      </c>
    </row>
  </sheetData>
  <dataValidations count="1">
    <dataValidation type="list" allowBlank="1" showInputMessage="1" showErrorMessage="1" sqref="B2:B3 B5:B1048576" xr:uid="{6E4A273C-60A9-48C1-B63E-766C2AADA7F0}">
      <formula1>FixtureTypes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9A3A1-48EF-4508-BAF4-C012FBD910EA}">
  <sheetPr codeName="Sheet6">
    <tabColor theme="7" tint="0.79998168889431442"/>
  </sheetPr>
  <dimension ref="A1:H8"/>
  <sheetViews>
    <sheetView workbookViewId="0">
      <selection activeCell="T26" sqref="T26"/>
    </sheetView>
  </sheetViews>
  <sheetFormatPr defaultRowHeight="15" x14ac:dyDescent="0.25"/>
  <cols>
    <col min="1" max="1" width="19.7109375" customWidth="1"/>
  </cols>
  <sheetData>
    <row r="1" spans="1:8" s="3" customFormat="1" x14ac:dyDescent="0.25">
      <c r="A1" s="13" t="s">
        <v>102</v>
      </c>
      <c r="B1" s="3" t="str" cm="1">
        <f t="array" ref="B1">IF(B3="",
       "",
       IF(COUNTIF(3:3,B3)&gt;1,
             "Color Name must be unique",
             _xll.AuLiComSetColor(B3,B4,B5,B6)))</f>
        <v>Orange</v>
      </c>
      <c r="C1" s="3" t="str" cm="1">
        <f t="array" ref="C1">IF(C3="",
       "",
       IF(COUNTIF(3:3,C3)&gt;1,
             "Color Name must be unique",
             _xll.AuLiComSetColor(C3,C4,C5,C6)))</f>
        <v>Pink</v>
      </c>
      <c r="D1" s="3" t="str" cm="1">
        <f t="array" ref="D1">IF(D3="",
       "",
       IF(COUNTIF(3:3,D3)&gt;1,
             "Color Name must be unique",
             _xll.AuLiComSetColor(D3,D4,D5,D6)))</f>
        <v>Dark Blue</v>
      </c>
      <c r="E1" s="3" t="str" cm="1">
        <f t="array" ref="E1">IF(E3="",
       "",
       IF(COUNTIF(3:3,E3)&gt;1,
             "Color Name must be unique",
             _xll.AuLiComSetColor(E3,E4,E5,E6)))</f>
        <v>Light Blue</v>
      </c>
      <c r="F1" s="3" t="str" cm="1">
        <f t="array" ref="F1">IF(F3="",
       "",
       IF(COUNTIF(3:3,F3)&gt;1,
             "Color Name must be unique",
             _xll.AuLiComSetColor(F3,F4,F5,F6)))</f>
        <v>Green</v>
      </c>
      <c r="G1" s="3" t="str" cm="1">
        <f t="array" ref="G1">IF(G3="",
       "",
       IF(COUNTIF(3:3,G3)&gt;1,
             "Color Name must be unique",
             _xll.AuLiComSetColor(G3,G4,G5,G6)))</f>
        <v>Red</v>
      </c>
      <c r="H1" s="3" t="str" cm="1">
        <f t="array" ref="H1">IF(H3="",
       "",
       IF(COUNTIF(3:3,H3)&gt;1,
             "Color Name must be unique",
             _xll.AuLiComSetColor(H3,H4,H5,H6)))</f>
        <v/>
      </c>
    </row>
    <row r="2" spans="1:8" x14ac:dyDescent="0.25">
      <c r="B2" s="1" t="s">
        <v>101</v>
      </c>
    </row>
    <row r="3" spans="1:8" x14ac:dyDescent="0.25">
      <c r="A3" t="s">
        <v>2</v>
      </c>
      <c r="B3" s="12" t="s">
        <v>99</v>
      </c>
      <c r="C3" s="12" t="s">
        <v>103</v>
      </c>
      <c r="D3" s="12" t="s">
        <v>104</v>
      </c>
      <c r="E3" s="12" t="s">
        <v>105</v>
      </c>
      <c r="F3" s="12" t="s">
        <v>97</v>
      </c>
      <c r="G3" s="12" t="s">
        <v>96</v>
      </c>
      <c r="H3" s="12"/>
    </row>
    <row r="4" spans="1:8" x14ac:dyDescent="0.25">
      <c r="A4" t="s">
        <v>96</v>
      </c>
      <c r="B4" s="2">
        <v>100</v>
      </c>
      <c r="C4" s="2">
        <v>100</v>
      </c>
      <c r="D4" s="2">
        <v>0</v>
      </c>
      <c r="E4" s="2">
        <v>0</v>
      </c>
      <c r="F4" s="2">
        <v>0</v>
      </c>
      <c r="G4" s="2">
        <v>99</v>
      </c>
      <c r="H4" s="2"/>
    </row>
    <row r="5" spans="1:8" x14ac:dyDescent="0.25">
      <c r="A5" t="s">
        <v>97</v>
      </c>
      <c r="B5" s="2">
        <v>50</v>
      </c>
      <c r="C5" s="2">
        <v>50</v>
      </c>
      <c r="D5" s="2">
        <v>20</v>
      </c>
      <c r="E5" s="2">
        <v>87</v>
      </c>
      <c r="F5" s="2">
        <v>88</v>
      </c>
      <c r="G5" s="2">
        <v>0</v>
      </c>
      <c r="H5" s="2"/>
    </row>
    <row r="6" spans="1:8" x14ac:dyDescent="0.25">
      <c r="A6" t="s">
        <v>98</v>
      </c>
      <c r="B6" s="2">
        <v>0</v>
      </c>
      <c r="C6" s="2">
        <v>100</v>
      </c>
      <c r="D6" s="2">
        <v>100</v>
      </c>
      <c r="E6" s="2">
        <v>100</v>
      </c>
      <c r="F6" s="2">
        <v>0</v>
      </c>
      <c r="G6" s="2">
        <v>0</v>
      </c>
      <c r="H6" s="2"/>
    </row>
    <row r="8" spans="1:8" s="14" customFormat="1" ht="45" x14ac:dyDescent="0.25">
      <c r="A8" s="15" t="s">
        <v>100</v>
      </c>
      <c r="B8" s="16" t="str" cm="1">
        <f t="array" ref="B8">IF(B1&lt;&gt;"",HYPERLINK(PreviewColor(B8,B4,B5,B6),B3),"")</f>
        <v>Orange</v>
      </c>
      <c r="C8" s="17" t="str" cm="1">
        <f t="array" ref="C8">IF(C1&lt;&gt;"",HYPERLINK(PreviewColor(C8,C4,C5,C6),C3),"")</f>
        <v>Pink</v>
      </c>
      <c r="D8" s="18" t="str" cm="1">
        <f t="array" ref="D8">IF(D1&lt;&gt;"",HYPERLINK(PreviewColor(D8,D4,D5,D6),D3),"")</f>
        <v>Dark Blue</v>
      </c>
      <c r="E8" s="19" t="str" cm="1">
        <f t="array" ref="E8">IF(E1&lt;&gt;"",HYPERLINK(PreviewColor(E8,E4,E5,E6),E3),"")</f>
        <v>Light Blue</v>
      </c>
      <c r="F8" s="20" t="str" cm="1">
        <f t="array" ref="F8">IF(F1&lt;&gt;"",HYPERLINK(PreviewColor(F8,F4,F5,F6),F3),"")</f>
        <v>Green</v>
      </c>
      <c r="G8" s="21" t="str" cm="1">
        <f t="array" ref="G8">IF(G1&lt;&gt;"",HYPERLINK(PreviewColor(G8,G4,G5,G6),G3),"")</f>
        <v>Red</v>
      </c>
      <c r="H8" s="14" t="str" cm="1">
        <f t="array" ref="H8">IF(H1&lt;&gt;"",HYPERLINK(PreviewColor(H8,H4,H5,H6),H3),"")</f>
        <v/>
      </c>
    </row>
  </sheetData>
  <conditionalFormatting sqref="A4:A6 A8">
    <cfRule type="containsText" dxfId="3" priority="1" operator="containsText" text="Intensity">
      <formula>NOT(ISERROR(SEARCH("Intensity",A4)))</formula>
    </cfRule>
    <cfRule type="containsText" dxfId="2" priority="2" operator="containsText" text="Blue">
      <formula>NOT(ISERROR(SEARCH("Blue",A4)))</formula>
    </cfRule>
    <cfRule type="containsText" dxfId="1" priority="3" operator="containsText" text="Green">
      <formula>NOT(ISERROR(SEARCH("Green",A4)))</formula>
    </cfRule>
    <cfRule type="containsText" dxfId="0" priority="4" operator="containsText" text="Red">
      <formula>NOT(ISERROR(SEARCH("Red",A4)))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476D4-702A-41D6-800C-4D12D2F7DEDB}">
  <sheetPr codeName="Sheet1"/>
  <dimension ref="A1:O18"/>
  <sheetViews>
    <sheetView workbookViewId="0">
      <selection activeCell="C46" sqref="C46"/>
    </sheetView>
  </sheetViews>
  <sheetFormatPr defaultRowHeight="15" x14ac:dyDescent="0.25"/>
  <cols>
    <col min="1" max="1" width="21.7109375" customWidth="1"/>
    <col min="2" max="2" width="16.42578125" bestFit="1" customWidth="1"/>
    <col min="3" max="3" width="39.85546875" style="23" bestFit="1" customWidth="1"/>
    <col min="4" max="4" width="16" bestFit="1" customWidth="1"/>
    <col min="5" max="5" width="11.28515625" customWidth="1"/>
    <col min="6" max="6" width="13.7109375" bestFit="1" customWidth="1"/>
    <col min="7" max="7" width="33.28515625" bestFit="1" customWidth="1"/>
    <col min="8" max="8" width="7.5703125" bestFit="1" customWidth="1"/>
    <col min="9" max="9" width="10" customWidth="1"/>
  </cols>
  <sheetData>
    <row r="1" spans="1:15" x14ac:dyDescent="0.25">
      <c r="A1" s="1" t="s">
        <v>93</v>
      </c>
      <c r="B1" s="1" t="s">
        <v>119</v>
      </c>
      <c r="C1" s="11" t="s">
        <v>109</v>
      </c>
      <c r="D1" s="1" t="s">
        <v>108</v>
      </c>
      <c r="E1" s="1" t="s">
        <v>107</v>
      </c>
      <c r="F1" s="11" t="s">
        <v>91</v>
      </c>
      <c r="G1" s="1" t="s">
        <v>92</v>
      </c>
      <c r="H1" s="1" t="s">
        <v>95</v>
      </c>
    </row>
    <row r="2" spans="1:15" x14ac:dyDescent="0.25">
      <c r="A2" s="2" t="s">
        <v>106</v>
      </c>
      <c r="B2" cm="1">
        <f t="array" ref="B2">_xll.AuLiComGetFixtureChannelCountTotal()</f>
        <v>53</v>
      </c>
      <c r="C2" s="23" cm="1">
        <f t="array" aca="1" ref="C2:C18" ca="1">_xlfn.VSTACK(ChannelLevels,ColorNames)</f>
        <v>0</v>
      </c>
      <c r="D2">
        <v>0</v>
      </c>
      <c r="E2" t="str" cm="1">
        <f t="array" ref="E2:E7">_xlfn._xlws.SORT(_xll.AuLiComGetColors())</f>
        <v>Dark Blue</v>
      </c>
      <c r="F2" t="str" cm="1">
        <f t="array" ref="F2:F5">_xll.AuLiComGetChaserTypes()</f>
        <v>Once</v>
      </c>
      <c r="G2" t="str" cm="1">
        <f t="array" ref="G2:G18">_xlfn._xlws.SORT(_xll.AuLiComGetFixtureTypes())</f>
        <v>AriaPc</v>
      </c>
      <c r="H2" t="str" cm="1">
        <f t="array" ref="H2:H18">_xlfn._xlws.SORT(_xll.AuLiComGetScenes())</f>
        <v>Blue1</v>
      </c>
      <c r="I2" t="str" cm="1">
        <f t="array" ref="I2">IF(H2="","",_xll.AuLiComGetSceneChannelPercentages(H2))</f>
        <v>43@100</v>
      </c>
    </row>
    <row r="3" spans="1:15" x14ac:dyDescent="0.25">
      <c r="A3" s="3" t="str" cm="1">
        <f t="array" ref="A3">_xll.AuLiComSetDmxConnection(SelectedPort)</f>
        <v>DMX:COM4</v>
      </c>
      <c r="C3" s="23">
        <f ca="1"/>
        <v>10</v>
      </c>
      <c r="D3">
        <v>10</v>
      </c>
      <c r="E3" t="str">
        <v>Green</v>
      </c>
      <c r="F3" t="str">
        <v>Loop</v>
      </c>
      <c r="G3" t="str">
        <v>CameoLedBar_12Ch</v>
      </c>
      <c r="H3" t="str">
        <v>Blue2</v>
      </c>
      <c r="I3" t="str" cm="1">
        <f t="array" ref="I3">IF(H3="","",_xll.AuLiComGetSceneChannelPercentages(H3))</f>
        <v>46@100</v>
      </c>
      <c r="O3" s="1"/>
    </row>
    <row r="4" spans="1:15" x14ac:dyDescent="0.25">
      <c r="A4" s="3" t="str" cm="1">
        <f t="array" ref="A4">"FIXTURES:"&amp;_xll.AuLiComGetFixturesVersion()</f>
        <v>FIXTURES:55</v>
      </c>
      <c r="B4" s="1" t="s">
        <v>120</v>
      </c>
      <c r="C4" s="23">
        <f ca="1"/>
        <v>20</v>
      </c>
      <c r="D4">
        <v>20</v>
      </c>
      <c r="E4" t="str">
        <v>Light Blue</v>
      </c>
      <c r="F4" t="str">
        <v>BackAndForth</v>
      </c>
      <c r="G4" t="str">
        <v>CameoLedBar_3Ch2</v>
      </c>
      <c r="H4" t="str">
        <v>Blue3</v>
      </c>
      <c r="I4" t="str" cm="1">
        <f t="array" ref="I4">IF(H4="","",_xll.AuLiComGetSceneChannelPercentages(H4))</f>
        <v>49@100</v>
      </c>
    </row>
    <row r="5" spans="1:15" x14ac:dyDescent="0.25">
      <c r="A5" s="3" t="str" cm="1">
        <f t="array" ref="A5">"SCENES:"&amp;_xll.AuLiComGetScenesVersion()</f>
        <v>SCENES:40</v>
      </c>
      <c r="B5">
        <f>ROWS(_xll.AuLiComGetScenes())</f>
        <v>17</v>
      </c>
      <c r="C5" s="23">
        <f ca="1"/>
        <v>30</v>
      </c>
      <c r="D5">
        <v>30</v>
      </c>
      <c r="E5" t="str">
        <v>Orange</v>
      </c>
      <c r="F5" t="str">
        <v>Random</v>
      </c>
      <c r="G5" t="str">
        <v>CameoPixBar650CPro_3Ch1</v>
      </c>
      <c r="H5" t="str">
        <v>Blue4</v>
      </c>
      <c r="I5" t="str" cm="1">
        <f t="array" ref="I5">IF(H5="","",_xll.AuLiComGetSceneChannelPercentages(H5))</f>
        <v>52@100</v>
      </c>
    </row>
    <row r="6" spans="1:15" x14ac:dyDescent="0.25">
      <c r="A6" s="3" t="str" cm="1">
        <f t="array" ref="A6">"CHANNELS:"&amp;_xll.AuLiComGetChannelsVersion()</f>
        <v>CHANNELS:634</v>
      </c>
      <c r="C6" s="23">
        <f ca="1"/>
        <v>40</v>
      </c>
      <c r="D6">
        <v>40</v>
      </c>
      <c r="E6" t="str">
        <v>Pink</v>
      </c>
      <c r="G6" t="str">
        <v>CameoPixBar650CPro_3Ch2</v>
      </c>
      <c r="H6" t="str">
        <v>Front2a</v>
      </c>
      <c r="I6" t="str" cm="1">
        <f t="array" ref="I6">IF(H6="","",_xll.AuLiComGetSceneChannelPercentages(H6))</f>
        <v>8@70</v>
      </c>
    </row>
    <row r="7" spans="1:15" x14ac:dyDescent="0.25">
      <c r="A7" s="3" t="str" cm="1">
        <f t="array" ref="A7">"COLORS:"&amp;_xll.AuLiComGetColorsVersion(Dmx)</f>
        <v>COLORS:6</v>
      </c>
      <c r="C7" s="23">
        <f ca="1"/>
        <v>50</v>
      </c>
      <c r="D7">
        <v>50</v>
      </c>
      <c r="E7" t="str">
        <v>Red</v>
      </c>
      <c r="G7" t="str">
        <v>CameoThunderWash600Rgbw_7Ch2</v>
      </c>
      <c r="H7" t="str">
        <v>Front2b</v>
      </c>
      <c r="I7" t="str" cm="1">
        <f t="array" ref="I7">IF(H7="","",_xll.AuLiComGetSceneChannelPercentages(H7))</f>
        <v>9@70</v>
      </c>
    </row>
    <row r="8" spans="1:15" x14ac:dyDescent="0.25">
      <c r="C8" s="23">
        <f ca="1"/>
        <v>60</v>
      </c>
      <c r="D8">
        <v>60</v>
      </c>
      <c r="G8" t="str">
        <v>CantataPc</v>
      </c>
      <c r="H8" t="str">
        <v>Front2c</v>
      </c>
      <c r="I8" t="str" cm="1">
        <f t="array" ref="I8">IF(H8="","",_xll.AuLiComGetSceneChannelPercentages(H8))</f>
        <v>10@70</v>
      </c>
    </row>
    <row r="9" spans="1:15" x14ac:dyDescent="0.25">
      <c r="C9" s="23">
        <f ca="1"/>
        <v>70</v>
      </c>
      <c r="D9">
        <v>70</v>
      </c>
      <c r="G9" t="str">
        <v>CantataProfiler</v>
      </c>
      <c r="H9" t="str">
        <v>Front2d</v>
      </c>
      <c r="I9" t="str" cm="1">
        <f t="array" ref="I9">IF(H9="","",_xll.AuLiComGetSceneChannelPercentages(H9))</f>
        <v>11@70</v>
      </c>
    </row>
    <row r="10" spans="1:15" x14ac:dyDescent="0.25">
      <c r="A10" s="4" t="s">
        <v>0</v>
      </c>
      <c r="C10" s="23">
        <f ca="1"/>
        <v>80</v>
      </c>
      <c r="D10">
        <v>80</v>
      </c>
      <c r="G10" t="str">
        <v>ElationKl4Fresnel_1Ch</v>
      </c>
      <c r="H10" t="str">
        <v>Front2e</v>
      </c>
      <c r="I10" t="str" cm="1">
        <f t="array" ref="I10">IF(H10="","",_xll.AuLiComGetSceneChannelPercentages(H10))</f>
        <v>12@70</v>
      </c>
    </row>
    <row r="11" spans="1:15" x14ac:dyDescent="0.25">
      <c r="A11" s="3" t="s">
        <v>19</v>
      </c>
      <c r="C11" s="23">
        <f ca="1"/>
        <v>90</v>
      </c>
      <c r="D11">
        <v>90</v>
      </c>
      <c r="G11" t="str">
        <v>ElationKlParFc_11Ch</v>
      </c>
      <c r="H11" t="str">
        <v>Green1</v>
      </c>
      <c r="I11" t="str" cm="1">
        <f t="array" ref="I11">IF(H11="","",_xll.AuLiComGetSceneChannelPercentages(H11))</f>
        <v>42@100</v>
      </c>
    </row>
    <row r="12" spans="1:15" x14ac:dyDescent="0.25">
      <c r="A12" s="3" t="e" cm="1">
        <f t="array" ref="A12">_xll.AuLiComGetDmxPorts(TRUE)</f>
        <v>#VALUE!</v>
      </c>
      <c r="C12" s="23">
        <f ca="1"/>
        <v>100</v>
      </c>
      <c r="D12">
        <v>100</v>
      </c>
      <c r="G12" t="str">
        <v>ElationKlProfileFc_10Ch</v>
      </c>
      <c r="H12" t="str">
        <v>Green2</v>
      </c>
      <c r="I12" t="str" cm="1">
        <f t="array" ref="I12">IF(H12="","",_xll.AuLiComGetSceneChannelPercentages(H12))</f>
        <v>45@100</v>
      </c>
    </row>
    <row r="13" spans="1:15" x14ac:dyDescent="0.25">
      <c r="C13" s="23" t="str">
        <f ca="1"/>
        <v>Dark Blue</v>
      </c>
      <c r="G13" t="str">
        <v>GenericLamp</v>
      </c>
      <c r="H13" t="str">
        <v>Green3</v>
      </c>
      <c r="I13" t="str" cm="1">
        <f t="array" ref="I13">IF(H13="","",_xll.AuLiComGetSceneChannelPercentages(H13))</f>
        <v>48@100</v>
      </c>
    </row>
    <row r="14" spans="1:15" x14ac:dyDescent="0.25">
      <c r="C14" s="23" t="str">
        <f ca="1"/>
        <v>Green</v>
      </c>
      <c r="G14" t="str">
        <v>OtherPc</v>
      </c>
      <c r="H14" t="str">
        <v>Green4</v>
      </c>
      <c r="I14" t="str" cm="1">
        <f t="array" ref="I14">IF(H14="","",_xll.AuLiComGetSceneChannelPercentages(H14))</f>
        <v>51@100</v>
      </c>
    </row>
    <row r="15" spans="1:15" x14ac:dyDescent="0.25">
      <c r="C15" s="23" t="str">
        <f ca="1"/>
        <v>Light Blue</v>
      </c>
      <c r="G15" t="str">
        <v>Par56Silver</v>
      </c>
      <c r="H15" t="str">
        <v>Red1</v>
      </c>
      <c r="I15" t="str" cm="1">
        <f t="array" ref="I15">IF(H15="","",_xll.AuLiComGetSceneChannelPercentages(H15))</f>
        <v>41@100</v>
      </c>
    </row>
    <row r="16" spans="1:15" x14ac:dyDescent="0.25">
      <c r="A16" s="3"/>
      <c r="C16" s="23" t="str">
        <f ca="1"/>
        <v>Orange</v>
      </c>
      <c r="G16" t="str">
        <v>Par64</v>
      </c>
      <c r="H16" t="str">
        <v>Red2</v>
      </c>
      <c r="I16" t="str" cm="1">
        <f t="array" ref="I16">IF(H16="","",_xll.AuLiComGetSceneChannelPercentages(H16))</f>
        <v>44@100</v>
      </c>
    </row>
    <row r="17" spans="1:9" x14ac:dyDescent="0.25">
      <c r="A17" s="4"/>
      <c r="C17" s="23" t="str">
        <f ca="1"/>
        <v>Pink</v>
      </c>
      <c r="G17" t="str">
        <v>Profiler</v>
      </c>
      <c r="H17" t="str">
        <v>Red3</v>
      </c>
      <c r="I17" t="str" cm="1">
        <f t="array" ref="I17">IF(H17="","",_xll.AuLiComGetSceneChannelPercentages(H17))</f>
        <v>47@100</v>
      </c>
    </row>
    <row r="18" spans="1:9" x14ac:dyDescent="0.25">
      <c r="C18" s="23" t="str">
        <f ca="1"/>
        <v>Red</v>
      </c>
      <c r="G18" t="str">
        <v>Quartz</v>
      </c>
      <c r="H18" t="str">
        <v>Red4</v>
      </c>
      <c r="I18" t="str" cm="1">
        <f t="array" ref="I18">IF(H18="","",_xll.AuLiComGetSceneChannelPercentages(H18))</f>
        <v>50@100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fresh">
                <anchor moveWithCells="1">
                  <from>
                    <xdr:col>0</xdr:col>
                    <xdr:colOff>219075</xdr:colOff>
                    <xdr:row>7</xdr:row>
                    <xdr:rowOff>95250</xdr:rowOff>
                  </from>
                  <to>
                    <xdr:col>0</xdr:col>
                    <xdr:colOff>1057275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Channels</vt:lpstr>
      <vt:lpstr>Chasers</vt:lpstr>
      <vt:lpstr>Scene Player</vt:lpstr>
      <vt:lpstr>Scenes</vt:lpstr>
      <vt:lpstr>Fixtures</vt:lpstr>
      <vt:lpstr>Colors</vt:lpstr>
      <vt:lpstr>Internals</vt:lpstr>
      <vt:lpstr>ChannelCount</vt:lpstr>
      <vt:lpstr>ChannelManualMode</vt:lpstr>
      <vt:lpstr>ChannelMaster</vt:lpstr>
      <vt:lpstr>ChannelsVersion</vt:lpstr>
      <vt:lpstr>DmxVersion</vt:lpstr>
      <vt:lpstr>FixturesVersion</vt:lpstr>
      <vt:lpstr>SceneCount</vt:lpstr>
      <vt:lpstr>ScenesVersion</vt:lpstr>
      <vt:lpstr>SelectedPort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Heitz</dc:creator>
  <cp:lastModifiedBy>Stefan Heitz</cp:lastModifiedBy>
  <dcterms:created xsi:type="dcterms:W3CDTF">2023-06-20T13:37:25Z</dcterms:created>
  <dcterms:modified xsi:type="dcterms:W3CDTF">2024-01-31T13:26:45Z</dcterms:modified>
</cp:coreProperties>
</file>