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823" documentId="8_{33E53E1F-A3F6-4075-900F-54641BCFD3E8}" xr6:coauthVersionLast="47" xr6:coauthVersionMax="47" xr10:uidLastSave="{5C3250B6-DF6A-442A-B378-315B2E3E3B23}"/>
  <bookViews>
    <workbookView xWindow="-120" yWindow="-120" windowWidth="38640" windowHeight="21240" xr2:uid="{AB2CF87F-81B4-4088-AE2E-2820582A8761}"/>
  </bookViews>
  <sheets>
    <sheet name="Overview" sheetId="1" r:id="rId1"/>
    <sheet name="Fixture Definition" sheetId="3" r:id="rId2"/>
    <sheet name="Scene Definition" sheetId="2" r:id="rId3"/>
    <sheet name="Channels" sheetId="8" r:id="rId4"/>
    <sheet name="Scene Player" sheetId="4" r:id="rId5"/>
    <sheet name="Chasers" sheetId="5" r:id="rId6"/>
  </sheets>
  <definedNames>
    <definedName name="ChannelManualMode">Channels!$I$1</definedName>
    <definedName name="ChannelMaster">Channels!$H$1</definedName>
    <definedName name="ChannelsVersion">Overview!$A$6</definedName>
    <definedName name="ChaserKinds">OFFSET(Overview!$C$2,0,0,COUNTA(Overview!$C:$C)-1)</definedName>
    <definedName name="DmxVersion">Overview!$A$3</definedName>
    <definedName name="FixturesVersion">Overview!$A$4</definedName>
    <definedName name="FixtureTypes">OFFSET(Overview!$D$2,0,0,COUNTA(Overview!$D:$D)-1)</definedName>
    <definedName name="SceneNames">OFFSET(Overview!$E$2,0,0,COUNTA(Overview!$E:$E)-1)</definedName>
    <definedName name="ScenesVersion">Overview!$A$5</definedName>
    <definedName name="SelectedPort">Overview!$A$2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 a="1"/>
  <c r="F14" i="1" s="1"/>
  <c r="F15" i="1" a="1"/>
  <c r="F15" i="1" s="1"/>
  <c r="F16" i="1" a="1"/>
  <c r="F16" i="1" s="1"/>
  <c r="Q1" i="2" a="1"/>
  <c r="Q1" i="2" s="1"/>
  <c r="R1" i="2" a="1"/>
  <c r="R1" i="2" s="1"/>
  <c r="S1" i="2" a="1"/>
  <c r="S1" i="2" s="1"/>
  <c r="D2" i="1" a="1"/>
  <c r="C2" i="1" a="1"/>
  <c r="A4" i="2" a="1"/>
  <c r="K1" i="2" a="1"/>
  <c r="L1" i="2" a="1"/>
  <c r="N1" i="2" a="1"/>
  <c r="O1" i="2" a="1"/>
  <c r="H1" i="2" a="1"/>
  <c r="E2" i="1" a="1"/>
  <c r="I1" i="2" a="1"/>
  <c r="P1" i="2" a="1"/>
  <c r="E1" i="2" a="1"/>
  <c r="F1" i="2" a="1"/>
  <c r="G1" i="2" a="1"/>
  <c r="J1" i="2" a="1"/>
  <c r="M1" i="2" a="1"/>
  <c r="P1" i="2" l="1"/>
  <c r="O1" i="2"/>
  <c r="K1" i="2"/>
  <c r="G1" i="2"/>
  <c r="N1" i="2"/>
  <c r="M1" i="2"/>
  <c r="I1" i="2"/>
  <c r="L1" i="2"/>
  <c r="J1" i="2"/>
  <c r="H1" i="2"/>
  <c r="F1" i="2"/>
  <c r="E1" i="2"/>
  <c r="D2" i="1"/>
  <c r="E2" i="1"/>
  <c r="A4" i="2"/>
  <c r="C2" i="1"/>
  <c r="A7" i="8" a="1"/>
  <c r="F11" i="1" a="1"/>
  <c r="F7" i="1" a="1"/>
  <c r="F10" i="1" a="1"/>
  <c r="F12" i="1" a="1"/>
  <c r="F8" i="1" a="1"/>
  <c r="F9" i="1" a="1"/>
  <c r="F13" i="1" a="1"/>
  <c r="F6" i="1" a="1"/>
  <c r="F5" i="1" a="1"/>
  <c r="F4" i="1" a="1"/>
  <c r="F3" i="1" a="1"/>
  <c r="F2" i="1" a="1"/>
  <c r="C4" i="8" a="1"/>
  <c r="I44" i="8" a="1"/>
  <c r="I48" i="8" a="1"/>
  <c r="I50" i="8" a="1"/>
  <c r="I43" i="8" a="1"/>
  <c r="I5" i="8" a="1"/>
  <c r="I38" i="8" a="1"/>
  <c r="I41" i="8" a="1"/>
  <c r="I6" i="8" a="1"/>
  <c r="I16" i="8" a="1"/>
  <c r="I15" i="8" a="1"/>
  <c r="I13" i="8" a="1"/>
  <c r="I25" i="8" a="1"/>
  <c r="I14" i="8" a="1"/>
  <c r="I22" i="8" a="1"/>
  <c r="I40" i="8" a="1"/>
  <c r="I12" i="8" a="1"/>
  <c r="I54" i="8" a="1"/>
  <c r="I17" i="8" a="1"/>
  <c r="I9" i="8" a="1"/>
  <c r="I18" i="8" a="1"/>
  <c r="I37" i="8" a="1"/>
  <c r="I28" i="8" a="1"/>
  <c r="I47" i="8" a="1"/>
  <c r="I31" i="8" a="1"/>
  <c r="I11" i="8" a="1"/>
  <c r="I45" i="8" a="1"/>
  <c r="I42" i="8" a="1"/>
  <c r="I10" i="8" a="1"/>
  <c r="I34" i="8" a="1"/>
  <c r="I26" i="8" a="1"/>
  <c r="I20" i="8" a="1"/>
  <c r="I8" i="8" a="1"/>
  <c r="I19" i="8" a="1"/>
  <c r="I27" i="8" a="1"/>
  <c r="I29" i="8" a="1"/>
  <c r="I53" i="8" a="1"/>
  <c r="I21" i="8" a="1"/>
  <c r="I24" i="8" a="1"/>
  <c r="I52" i="8" a="1"/>
  <c r="I30" i="8" a="1"/>
  <c r="I7" i="8" a="1"/>
  <c r="I49" i="8" a="1"/>
  <c r="I23" i="8" a="1"/>
  <c r="I4" i="8" a="1"/>
  <c r="I51" i="8" a="1"/>
  <c r="I46" i="8" a="1"/>
  <c r="I36" i="8" a="1"/>
  <c r="I39" i="8" a="1"/>
  <c r="I35" i="8" a="1"/>
  <c r="I33" i="8" a="1"/>
  <c r="I32" i="8" a="1"/>
  <c r="F9" i="1" l="1"/>
  <c r="F12" i="1"/>
  <c r="F11" i="1"/>
  <c r="F13" i="1"/>
  <c r="F8" i="1"/>
  <c r="F10" i="1"/>
  <c r="F3" i="1"/>
  <c r="F6" i="1"/>
  <c r="F5" i="1"/>
  <c r="F7" i="1"/>
  <c r="F4" i="1"/>
  <c r="F2" i="1"/>
  <c r="I51" i="8"/>
  <c r="I54" i="8"/>
  <c r="I53" i="8"/>
  <c r="I50" i="8"/>
  <c r="I49" i="8"/>
  <c r="I52" i="8"/>
  <c r="A7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6" i="5" s="1"/>
  <c r="AB4" i="5" a="1"/>
  <c r="AB5" i="5" a="1"/>
  <c r="G4" i="8" a="1"/>
  <c r="G4" i="8" l="1"/>
  <c r="AB5" i="5"/>
  <c r="AB4" i="5"/>
  <c r="A12" i="1" a="1"/>
  <c r="A3" i="1" a="1"/>
  <c r="A2" i="4" a="1"/>
  <c r="A6" i="1" a="1"/>
  <c r="A5" i="1" a="1"/>
  <c r="A4" i="1" a="1"/>
  <c r="A12" i="1" l="1"/>
  <c r="A4" i="1"/>
  <c r="A2" i="4"/>
  <c r="A5" i="1"/>
  <c r="A6" i="1"/>
  <c r="A3" i="1"/>
  <c r="F15" i="3" a="1"/>
  <c r="F39" i="3" a="1"/>
  <c r="F2" i="3" a="1"/>
  <c r="F10" i="3" a="1"/>
  <c r="F28" i="3" a="1"/>
  <c r="F37" i="3" a="1"/>
  <c r="F38" i="3" a="1"/>
  <c r="F36" i="3" a="1"/>
  <c r="F7" i="3" a="1"/>
  <c r="F4" i="3" a="1"/>
  <c r="F20" i="3" a="1"/>
  <c r="F27" i="3" a="1"/>
  <c r="F12" i="3" a="1"/>
  <c r="F8" i="3" a="1"/>
  <c r="F6" i="3" a="1"/>
  <c r="F17" i="3" a="1"/>
  <c r="F30" i="3" a="1"/>
  <c r="F24" i="3" a="1"/>
  <c r="F13" i="3" a="1"/>
  <c r="F29" i="3" a="1"/>
  <c r="F23" i="3" a="1"/>
  <c r="F35" i="3" a="1"/>
  <c r="F16" i="3" a="1"/>
  <c r="F31" i="3" a="1"/>
  <c r="F18" i="3" a="1"/>
  <c r="F3" i="3" a="1"/>
  <c r="F22" i="3" a="1"/>
  <c r="F11" i="3" a="1"/>
  <c r="F33" i="3" a="1"/>
  <c r="F14" i="3" a="1"/>
  <c r="F19" i="3" a="1"/>
  <c r="F5" i="3" a="1"/>
  <c r="F34" i="3" a="1"/>
  <c r="F25" i="3" a="1"/>
  <c r="F26" i="3" a="1"/>
  <c r="F21" i="3" a="1"/>
  <c r="F9" i="3" a="1"/>
  <c r="F32" i="3" a="1"/>
  <c r="F22" i="3" l="1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22" i="3" a="1"/>
  <c r="D36" i="3" a="1"/>
  <c r="D27" i="3" a="1"/>
  <c r="D35" i="3" a="1"/>
  <c r="D7" i="3" a="1"/>
  <c r="D13" i="3" a="1"/>
  <c r="D21" i="3" a="1"/>
  <c r="D31" i="3" a="1"/>
  <c r="D32" i="3" a="1"/>
  <c r="D19" i="3" a="1"/>
  <c r="D34" i="3" a="1"/>
  <c r="D33" i="3" a="1"/>
  <c r="D4" i="3" a="1"/>
  <c r="D24" i="3" a="1"/>
  <c r="D8" i="3" a="1"/>
  <c r="D30" i="3" a="1"/>
  <c r="D16" i="3" a="1"/>
  <c r="D11" i="3" a="1"/>
  <c r="D25" i="3" a="1"/>
  <c r="D26" i="3" a="1"/>
  <c r="D23" i="3" a="1"/>
  <c r="D14" i="3" a="1"/>
  <c r="D39" i="3" a="1"/>
  <c r="D29" i="3" a="1"/>
  <c r="D2" i="3" a="1"/>
  <c r="D15" i="3" a="1"/>
  <c r="D10" i="3" a="1"/>
  <c r="D9" i="3" a="1"/>
  <c r="D18" i="3" a="1"/>
  <c r="D37" i="3" a="1"/>
  <c r="D3" i="3" a="1"/>
  <c r="D20" i="3" a="1"/>
  <c r="D12" i="3" a="1"/>
  <c r="D17" i="3" a="1"/>
  <c r="D38" i="3" a="1"/>
  <c r="D28" i="3" a="1"/>
  <c r="D6" i="3" a="1"/>
  <c r="D5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<sst xmlns="http://schemas.openxmlformats.org/spreadsheetml/2006/main" count="144" uniqueCount="97">
  <si>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</si>
  <si>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</si>
  <si>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</si>
  <si>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</si>
  <si>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</si>
  <si>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</si>
  <si>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</si>
  <si>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</si>
  <si>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</si>
  <si>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</si>
  <si>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</si>
  <si>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</si>
  <si>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</si>
  <si>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</si>
  <si>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</si>
  <si>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</si>
  <si>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</si>
  <si>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</si>
  <si>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</si>
  <si>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</si>
  <si>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COM6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</si>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</sst>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9" fillId="2" borderId="2" xfId="1" applyFont="1" applyBorder="1"/>
    <xf numFmtId="0" fontId="4" fillId="0" borderId="0" xfId="0" applyFont="1" applyAlignment="1">
      <alignment horizontal="right"/>
    </xf>
    <xf numFmtId="0" fontId="6" fillId="0" borderId="0" xfId="0" applyFont="1" applyAlignment="1"/>
  </cellXfs>
  <cellStyles count="3">
    <cellStyle name="Hyperlink" xfId="2" builtinId="8"/>
    <cellStyle name="Input" xfId="1" builtinId="20"/>
    <cellStyle name="Normal" xfId="0" builtinId="0"/>
  </cellStyles>
  <dxfs count="12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7a2b036f5c82478bb43f434a955998d3">
      <tp>
        <v>4</v>
        <stp/>
        <stp>4a2a439e-8e34-4d30-9bca-8f2be240028a</stp>
        <tr r="F7" s="1"/>
      </tp>
    </main>
    <main first="rtdsrv_7a2b036f5c82478bb43f434a955998d3">
      <tp>
        <v>3</v>
        <stp/>
        <stp>8aa14e4f-f09f-4f62-a751-9732d8b7416a</stp>
        <tr r="A4" s="1"/>
      </tp>
      <tp>
        <v>3</v>
        <stp/>
        <stp>6f62671b-fe7c-4d98-8104-523d9fb97196</stp>
        <tr r="G4" s="8"/>
        <tr r="M1" s="2"/>
        <tr r="M1" s="2"/>
        <tr r="J1" s="2"/>
        <tr r="J1" s="2"/>
        <tr r="G1" s="2"/>
        <tr r="G1" s="2"/>
        <tr r="F1" s="2"/>
        <tr r="F1" s="2"/>
        <tr r="E1" s="2"/>
        <tr r="E1" s="2"/>
        <tr r="P1" s="2"/>
        <tr r="P1" s="2"/>
        <tr r="I1" s="2"/>
        <tr r="I1" s="2"/>
        <tr r="H1" s="2"/>
        <tr r="H1" s="2"/>
        <tr r="O1" s="2"/>
        <tr r="O1" s="2"/>
        <tr r="N1" s="2"/>
        <tr r="N1" s="2"/>
        <tr r="L1" s="2"/>
        <tr r="L1" s="2"/>
        <tr r="K1" s="2"/>
        <tr r="K1" s="2"/>
      </tp>
    </main>
    <main first="rtdsrv_7a2b036f5c82478bb43f434a955998d3">
      <tp>
        <v>4</v>
        <stp/>
        <stp>269d9954-756a-4b05-a755-b6e0c35d4e26</stp>
        <tr r="F11" s="1"/>
      </tp>
    </main>
    <main first="rtdsrv_7a2b036f5c82478bb43f434a955998d3">
      <tp>
        <v>4</v>
        <stp/>
        <stp>3f4ecaa1-366f-4607-b052-8957c9722ac4</stp>
        <tr r="F9" s="1"/>
      </tp>
    </main>
    <main first="rtdsrv_7a2b036f5c82478bb43f434a955998d3">
      <tp>
        <v>4</v>
        <stp/>
        <stp>b80a5fee-740c-49b5-b4e6-2ea8b8809020</stp>
        <tr r="F10" s="1"/>
      </tp>
      <tp>
        <v>4</v>
        <stp/>
        <stp>45be8079-463a-4cd0-ac88-dabb3928e52c</stp>
        <tr r="F4" s="1"/>
      </tp>
    </main>
    <main first="rtdsrv_7a2b036f5c82478bb43f434a955998d3">
      <tp>
        <v>4</v>
        <stp/>
        <stp>4a365b39-b358-459d-a53e-1651b719bc15</stp>
        <tr r="F3" s="1"/>
      </tp>
      <tp>
        <v>4</v>
        <stp/>
        <stp>a08bd531-daa7-4b57-be8a-77d183e9e977</stp>
        <tr r="F6" s="1"/>
      </tp>
      <tp>
        <v>17</v>
        <stp/>
        <stp>b50ae3d0-b8b0-447a-8f2d-54c18770af61</stp>
        <tr r="A5" s="1"/>
      </tp>
    </main>
    <main first="rtdsrv_7a2b036f5c82478bb43f434a955998d3">
      <tp>
        <v>4</v>
        <stp/>
        <stp>b14d9e3b-9044-4c9c-a005-0cb11549b921</stp>
        <tr r="F5" s="1"/>
      </tp>
    </main>
    <main first="rtdsrv_7a2b036f5c82478bb43f434a955998d3">
      <tp>
        <v>4</v>
        <stp/>
        <stp>b5023839-ca93-482c-8c3a-98b328297322</stp>
        <tr r="F8" s="1"/>
      </tp>
    </main>
    <main first="rtdsrv_7a2b036f5c82478bb43f434a955998d3">
      <tp>
        <v>4</v>
        <stp/>
        <stp>3744e8b8-289b-4bc6-955f-0c29808e4e4b</stp>
        <tr r="F2" s="1"/>
      </tp>
    </main>
    <main first="rtdsrv_7a2b036f5c82478bb43f434a955998d3">
      <tp>
        <v>462</v>
        <stp/>
        <stp>49121c26-a970-4bf9-8501-f5f7b337a3e4</stp>
        <tr r="G4" s="8"/>
      </tp>
      <tp>
        <v>4</v>
        <stp/>
        <stp>da3239c4-32d6-4956-a999-54543e975398</stp>
        <tr r="F13" s="1"/>
      </tp>
      <tp>
        <v>3</v>
        <stp/>
        <stp>ac407470-fad5-4a4a-bad1-e7a33ed9cc85</stp>
        <tr r="C4" s="8"/>
        <tr r="A4" s="2"/>
      </tp>
      <tp>
        <v>667</v>
        <stp/>
        <stp>bf6317b1-f7c3-4409-95dc-599c9fcd1014</stp>
        <tr r="A6" s="1"/>
      </tp>
      <tp>
        <v>4</v>
        <stp/>
        <stp>dd4f519a-ec1b-4246-9da5-a073f2a25a6d</stp>
        <tr r="F12" s="1"/>
      </tp>
    </main>
    <main first="rtdsrv_7a2b036f5c82478bb43f434a955998d3">
      <tp>
        <v>17</v>
        <stp/>
        <stp>72be14dd-a084-4f1a-9138-aba89e2ba25c</stp>
        <tr r="A2" s="4"/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76200</xdr:rowOff>
        </xdr:from>
        <xdr:to>
          <xdr:col>0</xdr:col>
          <xdr:colOff>1038225</xdr:colOff>
          <xdr:row>7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7"/>
  <sheetViews>
    <sheetView tabSelected="1" workbookViewId="0">
      <selection activeCell="A2" sqref="A2"/>
    </sheetView>
  </sheetViews>
  <sheetFormatPr defaultRowHeight="15" x14ac:dyDescent="0.25"/>
  <cols>
    <col min="1" max="1" width="21.7109375" customWidth="1"/>
    <col min="3" max="3" width="17.7109375" customWidth="1"/>
    <col min="4" max="4" width="38.7109375" customWidth="1"/>
    <col min="5" max="5" width="13.7109375" bestFit="1" customWidth="1"/>
  </cols>
  <sheetData>
    <row r="1" spans="1:12" x14ac:dyDescent="0.25">
      <c r="A1" s="1" t="s">
        <v>94</v>
      </c>
      <c r="C1" s="11" t="s">
        <v>92</v>
      </c>
      <c r="D1" s="1" t="s">
        <v>93</v>
      </c>
      <c r="E1" s="1" t="s">
        <v>96</v>
      </c>
    </row>
    <row r="2" spans="1:12" x14ac:dyDescent="0.25">
      <c r="A2" s="2" t="s">
        <v>20</v>
      </c>
      <c r="C2" t="str" cm="1">
        <f t="array" ref="C2:C5">_xll.AuLiComGetChaserTypes()</f>
        <v>Once</v>
      </c>
      <c r="D2" t="str" cm="1">
        <f t="array" ref="D2:D16">_xlfn._xlws.SORT(_xll.AuLiComGetFixtureTypes())</f>
        <v>AriaPc</v>
      </c>
      <c r="E2" t="str" cm="1">
        <f t="array" ref="E2:E13">_xlfn._xlws.SORT(_xll.AuLiComGetScenes())</f>
        <v>Blue1</v>
      </c>
      <c r="F2" t="str" cm="1">
        <f t="array" ref="F2">IF(E2="","",_xll.AuLiComGetSceneChannelPercentages(E2))</f>
        <v>45@100</v>
      </c>
    </row>
    <row r="3" spans="1:12" x14ac:dyDescent="0.25">
      <c r="A3" s="3" t="str" cm="1">
        <f t="array" ref="A3">_xll.AuLiComSetDmxConnection(SelectedPort)</f>
        <v>DMX:Empty</v>
      </c>
      <c r="C3" t="str">
        <v>Loop</v>
      </c>
      <c r="D3" t="str">
        <v>CameoLedBar_12Ch</v>
      </c>
      <c r="E3" t="str">
        <v>Blue2</v>
      </c>
      <c r="F3" t="str" cm="1">
        <f t="array" ref="F3">IF(E3="","",_xll.AuLiComGetSceneChannelPercentages(E3))</f>
        <v>48@100</v>
      </c>
      <c r="L3" s="1"/>
    </row>
    <row r="4" spans="1:12" x14ac:dyDescent="0.25">
      <c r="A4" s="3" t="str" cm="1">
        <f t="array" ref="A4">"FIXTURES:"&amp;_xll.AuLiComGetFixturesVersion()</f>
        <v>FIXTURES:40</v>
      </c>
      <c r="C4" t="str">
        <v>BackAndForth</v>
      </c>
      <c r="D4" t="str">
        <v>CameoLedBar_3Ch2</v>
      </c>
      <c r="E4" t="str">
        <v>Blue3</v>
      </c>
      <c r="F4" t="str" cm="1">
        <f t="array" ref="F4">IF(E4="","",_xll.AuLiComGetSceneChannelPercentages(E4))</f>
        <v>51@100</v>
      </c>
    </row>
    <row r="5" spans="1:12" x14ac:dyDescent="0.25">
      <c r="A5" s="3" t="str" cm="1">
        <f t="array" ref="A5">"SCENES:"&amp;_xll.AuLiComGetScenesVersion()</f>
        <v>SCENES:17</v>
      </c>
      <c r="C5" t="str">
        <v>Random</v>
      </c>
      <c r="D5" t="str">
        <v>CameoPixBar650CPro_3Ch1</v>
      </c>
      <c r="E5" t="str">
        <v>Blue4</v>
      </c>
      <c r="F5" t="str" cm="1">
        <f t="array" ref="F5">IF(E5="","",_xll.AuLiComGetSceneChannelPercentages(E5))</f>
        <v>54@100</v>
      </c>
    </row>
    <row r="6" spans="1:12" x14ac:dyDescent="0.25">
      <c r="A6" s="3" t="str" cm="1">
        <f t="array" ref="A6">"CHANNELS:"&amp;_xll.AuLiComGetChannelsVersion()</f>
        <v>CHANNELS:718</v>
      </c>
      <c r="D6" t="str">
        <v>CameoPixBar650CPro_3Ch2</v>
      </c>
      <c r="E6" t="str">
        <v>Green1</v>
      </c>
      <c r="F6" t="str" cm="1">
        <f t="array" ref="F6">IF(E6="","",_xll.AuLiComGetSceneChannelPercentages(E6))</f>
        <v>44@100</v>
      </c>
    </row>
    <row r="7" spans="1:12" x14ac:dyDescent="0.25">
      <c r="D7" t="str">
        <v>CameoThunderWash600Rgbw_7Ch2</v>
      </c>
      <c r="E7" t="str">
        <v>Green2</v>
      </c>
      <c r="F7" t="str" cm="1">
        <f t="array" ref="F7">IF(E7="","",_xll.AuLiComGetSceneChannelPercentages(E7))</f>
        <v>47@100</v>
      </c>
    </row>
    <row r="8" spans="1:12" x14ac:dyDescent="0.25">
      <c r="D8" t="str">
        <v>CantataPc</v>
      </c>
      <c r="E8" t="str">
        <v>Green3</v>
      </c>
      <c r="F8" t="str" cm="1">
        <f t="array" ref="F8">IF(E8="","",_xll.AuLiComGetSceneChannelPercentages(E8))</f>
        <v>50@100</v>
      </c>
    </row>
    <row r="9" spans="1:12" x14ac:dyDescent="0.25">
      <c r="D9" t="str">
        <v>CantataProfiler</v>
      </c>
      <c r="E9" t="str">
        <v>Green4</v>
      </c>
      <c r="F9" t="str" cm="1">
        <f t="array" ref="F9">IF(E9="","",_xll.AuLiComGetSceneChannelPercentages(E9))</f>
        <v>53@100</v>
      </c>
    </row>
    <row r="10" spans="1:12" x14ac:dyDescent="0.25">
      <c r="A10" s="4" t="s">
        <v>0</v>
      </c>
      <c r="D10" t="str">
        <v>ElationKl4Fresnel_1Ch</v>
      </c>
      <c r="E10" t="str">
        <v>Red1</v>
      </c>
      <c r="F10" t="str" cm="1">
        <f t="array" ref="F10">IF(E10="","",_xll.AuLiComGetSceneChannelPercentages(E10))</f>
        <v>43@100</v>
      </c>
    </row>
    <row r="11" spans="1:12" x14ac:dyDescent="0.25">
      <c r="A11" s="3" t="s">
        <v>19</v>
      </c>
      <c r="D11" t="str">
        <v>GenericLamp</v>
      </c>
      <c r="E11" t="str">
        <v>Red2</v>
      </c>
      <c r="F11" t="str" cm="1">
        <f t="array" ref="F11">IF(E11="","",_xll.AuLiComGetSceneChannelPercentages(E11))</f>
        <v>46@100</v>
      </c>
    </row>
    <row r="12" spans="1:12" x14ac:dyDescent="0.25">
      <c r="A12" s="3" t="e" cm="1">
        <f t="array" ref="A12">_xll.AuLiComGetDmxPorts(TRUE)</f>
        <v>#VALUE!</v>
      </c>
      <c r="D12" t="str">
        <v>OtherPc</v>
      </c>
      <c r="E12" t="str">
        <v>Red3</v>
      </c>
      <c r="F12" t="str" cm="1">
        <f t="array" ref="F12">IF(E12="","",_xll.AuLiComGetSceneChannelPercentages(E12))</f>
        <v>49@100</v>
      </c>
    </row>
    <row r="13" spans="1:12" x14ac:dyDescent="0.25">
      <c r="D13" t="str">
        <v>Par56Silver</v>
      </c>
      <c r="E13" t="str">
        <v>Red4</v>
      </c>
      <c r="F13" t="str" cm="1">
        <f t="array" ref="F13">IF(E13="","",_xll.AuLiComGetSceneChannelPercentages(E13))</f>
        <v>52@100</v>
      </c>
    </row>
    <row r="14" spans="1:12" x14ac:dyDescent="0.25">
      <c r="D14" t="str">
        <v>Par64</v>
      </c>
      <c r="F14" t="str" cm="1">
        <f t="array" ref="F14">IF(E14="","",_xll.AuLiComGetSceneChannelPercentages(E14))</f>
        <v/>
      </c>
    </row>
    <row r="15" spans="1:12" x14ac:dyDescent="0.25">
      <c r="D15" t="str">
        <v>Profiler</v>
      </c>
      <c r="F15" t="str" cm="1">
        <f t="array" ref="F15">IF(E15="","",_xll.AuLiComGetSceneChannelPercentages(E15))</f>
        <v/>
      </c>
    </row>
    <row r="16" spans="1:12" x14ac:dyDescent="0.25">
      <c r="A16" s="3"/>
      <c r="D16" t="str">
        <v>Quartz</v>
      </c>
      <c r="F16" t="str" cm="1">
        <f t="array" ref="F16">IF(E16="","",_xll.AuLiComGetSceneChannelPercentages(E16))</f>
        <v/>
      </c>
    </row>
    <row r="17" spans="1:1" x14ac:dyDescent="0.25">
      <c r="A17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6</xdr:row>
                    <xdr:rowOff>76200</xdr:rowOff>
                  </from>
                  <to>
                    <xdr:col>0</xdr:col>
                    <xdr:colOff>1038225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B56" sqref="B56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83</v>
      </c>
      <c r="F1" s="1"/>
      <c r="J1" s="1"/>
    </row>
    <row r="2" spans="1:10" x14ac:dyDescent="0.25">
      <c r="A2" s="2" t="s">
        <v>50</v>
      </c>
      <c r="B2" s="2" t="s">
        <v>38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40</v>
      </c>
      <c r="B3" s="2" t="s">
        <v>39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51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52</v>
      </c>
      <c r="B5" s="2" t="s">
        <v>53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54</v>
      </c>
      <c r="B6" s="2" t="s">
        <v>55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41</v>
      </c>
      <c r="B7" s="2" t="s">
        <v>56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42</v>
      </c>
      <c r="B8" s="2" t="s">
        <v>56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57</v>
      </c>
      <c r="B9" s="2" t="s">
        <v>58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59</v>
      </c>
      <c r="B10" s="2" t="s">
        <v>58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60</v>
      </c>
      <c r="B11" s="2" t="s">
        <v>58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61</v>
      </c>
      <c r="B12" s="2" t="s">
        <v>58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62</v>
      </c>
      <c r="B13" s="2" t="s">
        <v>58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63</v>
      </c>
      <c r="B14" s="2" t="s">
        <v>38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64</v>
      </c>
      <c r="B15" s="2" t="s">
        <v>53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65</v>
      </c>
      <c r="B16" s="2" t="s">
        <v>38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66</v>
      </c>
      <c r="B17" s="2" t="s">
        <v>53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67</v>
      </c>
      <c r="B18" s="2" t="s">
        <v>85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68</v>
      </c>
      <c r="B19" s="2" t="s">
        <v>85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69</v>
      </c>
      <c r="B20" s="2" t="s">
        <v>85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70</v>
      </c>
      <c r="B21" s="2" t="s">
        <v>53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71</v>
      </c>
      <c r="B22" s="2" t="s">
        <v>85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72</v>
      </c>
      <c r="B23" s="2" t="s">
        <v>38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73</v>
      </c>
      <c r="B24" s="2" t="s">
        <v>53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74</v>
      </c>
      <c r="B25" s="2" t="s">
        <v>38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76</v>
      </c>
      <c r="B26" s="2" t="s">
        <v>75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43</v>
      </c>
      <c r="B27" s="2" t="s">
        <v>86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44</v>
      </c>
      <c r="B28" s="2" t="s">
        <v>38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45</v>
      </c>
      <c r="B29" s="2" t="s">
        <v>38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46</v>
      </c>
      <c r="B30" s="2" t="s">
        <v>38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47</v>
      </c>
      <c r="B31" s="2" t="s">
        <v>38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48</v>
      </c>
      <c r="B32" s="2" t="s">
        <v>38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49</v>
      </c>
      <c r="B33" s="2" t="s">
        <v>38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78</v>
      </c>
      <c r="B34" s="2" t="s">
        <v>53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78</v>
      </c>
      <c r="B35" s="2" t="s">
        <v>77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79</v>
      </c>
      <c r="B36" s="2" t="s">
        <v>84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80</v>
      </c>
      <c r="B37" s="2" t="s">
        <v>84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81</v>
      </c>
      <c r="B38" s="2" t="s">
        <v>84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82</v>
      </c>
      <c r="B39" s="2" t="s">
        <v>84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S54"/>
  <sheetViews>
    <sheetView workbookViewId="0">
      <pane ySplit="3" topLeftCell="A24" activePane="bottomLeft" state="frozen"/>
      <selection pane="bottomLeft" activeCell="E44" sqref="E44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19" x14ac:dyDescent="0.25">
      <c r="C1" s="1"/>
      <c r="D1" s="14" t="s">
        <v>95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19" x14ac:dyDescent="0.25">
      <c r="C2" s="5"/>
      <c r="D2" s="5"/>
      <c r="E2" s="1" t="s">
        <v>88</v>
      </c>
    </row>
    <row r="3" spans="1:19" x14ac:dyDescent="0.25">
      <c r="A3" s="1" t="s">
        <v>9</v>
      </c>
      <c r="B3" s="1" t="s">
        <v>12</v>
      </c>
      <c r="C3" s="1" t="s">
        <v>87</v>
      </c>
      <c r="D3" s="1" t="s">
        <v>3</v>
      </c>
      <c r="E3" s="12" t="s">
        <v>27</v>
      </c>
      <c r="F3" s="12" t="s">
        <v>29</v>
      </c>
      <c r="G3" s="12" t="s">
        <v>28</v>
      </c>
      <c r="H3" s="12" t="s">
        <v>89</v>
      </c>
      <c r="I3" s="12" t="s">
        <v>33</v>
      </c>
      <c r="J3" s="12" t="s">
        <v>34</v>
      </c>
      <c r="K3" s="13" t="s">
        <v>35</v>
      </c>
      <c r="L3" s="13" t="s">
        <v>90</v>
      </c>
      <c r="M3" s="13" t="s">
        <v>30</v>
      </c>
      <c r="N3" s="13" t="s">
        <v>31</v>
      </c>
      <c r="O3" s="13" t="s">
        <v>32</v>
      </c>
      <c r="P3" s="13" t="s">
        <v>91</v>
      </c>
      <c r="Q3" s="13"/>
      <c r="R3" s="13"/>
      <c r="S3" s="13"/>
    </row>
    <row r="4" spans="1:19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t="str">
        <v>Special über der Bühne</v>
      </c>
      <c r="B42" t="str">
        <v>OtherPc</v>
      </c>
      <c r="C42" t="str">
        <v>Intensity</v>
      </c>
      <c r="D42">
        <v>42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</row>
    <row r="46" spans="1:19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</row>
    <row r="49" spans="1:19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</row>
    <row r="51" spans="1:19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</row>
    <row r="52" spans="1:19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</row>
    <row r="54" spans="1:19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dimension ref="A1:I54"/>
  <sheetViews>
    <sheetView workbookViewId="0">
      <selection activeCell="A4" sqref="A4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/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IF(ChannelManualMode,_xll.AuLiComSetChannelValue(F4,H4*ChannelMaster%),"")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IF(ChannelManualMode,_xll.AuLiComSetChannelValue(F5,H5*ChannelMaster%),"")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IF(ChannelManualMode,_xll.AuLiComSetChannelValue(F6,H6*ChannelMaster%),"")</f>
        <v>3</v>
      </c>
    </row>
    <row r="7" spans="1:9" x14ac:dyDescent="0.25">
      <c r="A7" s="15" t="str" cm="1">
        <f t="array" ref="A7">IF(A4="","no command",_xll.AuLiComExecuteCommand(DmxVersion,A4))</f>
        <v>no command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IF(ChannelManualMode,_xll.AuLiComSetChannelValue(F7,H7*ChannelMaster%),"")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IF(ChannelManualMode,_xll.AuLiComSetChannelValue(F8,H8*ChannelMaster%),"")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IF(ChannelManualMode,_xll.AuLiComSetChannelValue(F9,H9*ChannelMaster%),"")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IF(ChannelManualMode,_xll.AuLiComSetChannelValue(F10,H10*ChannelMaster%),"")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IF(ChannelManualMode,_xll.AuLiComSetChannelValue(F11,H11*ChannelMaster%),"")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IF(ChannelManualMode,_xll.AuLiComSetChannelValue(F12,H12*ChannelMaster%),"")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IF(ChannelManualMode,_xll.AuLiComSetChannelValue(F13,H13*ChannelMaster%),"")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IF(ChannelManualMode,_xll.AuLiComSetChannelValue(F14,H14*ChannelMaster%),"")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IF(ChannelManualMode,_xll.AuLiComSetChannelValue(F15,H15*ChannelMaster%),"")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IF(ChannelManualMode,_xll.AuLiComSetChannelValue(F16,H16*ChannelMaster%),"")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IF(ChannelManualMode,_xll.AuLiComSetChannelValue(F17,H17*ChannelMaster%),"")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IF(ChannelManualMode,_xll.AuLiComSetChannelValue(F18,H18*ChannelMaster%),"")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IF(ChannelManualMode,_xll.AuLiComSetChannelValue(F19,H19*ChannelMaster%),"")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IF(ChannelManualMode,_xll.AuLiComSetChannelValue(F20,H20*ChannelMaster%),"")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IF(ChannelManualMode,_xll.AuLiComSetChannelValue(F21,H21*ChannelMaster%),"")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IF(ChannelManualMode,_xll.AuLiComSetChannelValue(F22,H22*ChannelMaster%),"")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IF(ChannelManualMode,_xll.AuLiComSetChannelValue(F23,H23*ChannelMaster%),"")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IF(ChannelManualMode,_xll.AuLiComSetChannelValue(F24,H24*ChannelMaster%),"")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IF(ChannelManualMode,_xll.AuLiComSetChannelValue(F25,H25*ChannelMaster%),"")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IF(ChannelManualMode,_xll.AuLiComSetChannelValue(F26,H26*ChannelMaster%),"")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IF(ChannelManualMode,_xll.AuLiComSetChannelValue(F27,H27*ChannelMaster%),"")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IF(ChannelManualMode,_xll.AuLiComSetChannelValue(F28,H28*ChannelMaster%),"")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IF(ChannelManualMode,_xll.AuLiComSetChannelValue(F29,H29*ChannelMaster%),"")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IF(ChannelManualMode,_xll.AuLiComSetChannelValue(F30,H30*ChannelMaster%),"")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IF(ChannelManualMode,_xll.AuLiComSetChannelValue(F31,H31*ChannelMaster%),"")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IF(ChannelManualMode,_xll.AuLiComSetChannelValue(F32,H32*ChannelMaster%),"")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IF(ChannelManualMode,_xll.AuLiComSetChannelValue(F33,H33*ChannelMaster%),"")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IF(ChannelManualMode,_xll.AuLiComSetChannelValue(F34,H34*ChannelMaster%),"")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IF(ChannelManualMode,_xll.AuLiComSetChannelValue(F35,H35*ChannelMaster%),"")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IF(ChannelManualMode,_xll.AuLiComSetChannelValue(F36,H36*ChannelMaster%),"")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IF(ChannelManualMode,_xll.AuLiComSetChannelValue(F37,H37*ChannelMaster%),"")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IF(ChannelManualMode,_xll.AuLiComSetChannelValue(F38,H38*ChannelMaster%),"")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IF(ChannelManualMode,_xll.AuLiComSetChannelValue(F39,H39*ChannelMaster%),"")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IF(ChannelManualMode,_xll.AuLiComSetChannelValue(F40,H40*ChannelMaster%),"")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IF(ChannelManualMode,_xll.AuLiComSetChannelValue(F41,H41*ChannelMaster%),"")</f>
        <v>39</v>
      </c>
    </row>
    <row r="42" spans="1:9" x14ac:dyDescent="0.25">
      <c r="A42" s="6"/>
      <c r="C42" t="str">
        <v>Special über der Bühne</v>
      </c>
      <c r="D42" t="str">
        <v>OtherPc</v>
      </c>
      <c r="E42" t="str">
        <v>Intensity</v>
      </c>
      <c r="F42">
        <v>42</v>
      </c>
      <c r="G42">
        <f ca="1"/>
        <v>0</v>
      </c>
      <c r="H42" s="2">
        <v>0</v>
      </c>
      <c r="I42" s="3" cm="1">
        <f t="array" ref="I42">IF(ChannelManualMode,_xll.AuLiComSetChannelValue(F42,H42*ChannelMaster%),"")</f>
        <v>42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IF(ChannelManualMode,_xll.AuLiComSetChannelValue(F43,H43*ChannelMaster%),"")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IF(ChannelManualMode,_xll.AuLiComSetChannelValue(F44,H44*ChannelMaster%),"")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IF(ChannelManualMode,_xll.AuLiComSetChannelValue(F45,H45*ChannelMaster%),"")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IF(ChannelManualMode,_xll.AuLiComSetChannelValue(F46,H46*ChannelMaster%),"")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IF(ChannelManualMode,_xll.AuLiComSetChannelValue(F47,H47*ChannelMaster%),"")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IF(ChannelManualMode,_xll.AuLiComSetChannelValue(F48,H48*ChannelMaster%),"")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IF(ChannelManualMode,_xll.AuLiComSetChannelValue(F49,H49*ChannelMaster%),"")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IF(ChannelManualMode,_xll.AuLiComSetChannelValue(F50,H50*ChannelMaster%),"")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IF(ChannelManualMode,_xll.AuLiComSetChannelValue(F51,H51*ChannelMaster%),"")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IF(ChannelManualMode,_xll.AuLiComSetChannelValue(F52,H52*ChannelMaster%),"")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IF(ChannelManualMode,_xll.AuLiComSetChannelValue(F53,H53*ChannelMaster%),"")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IF(ChannelManualMode,_xll.AuLiComSetChannelValue(F54,H54*ChannelMaster%),"")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whole" allowBlank="1" showInputMessage="1" showErrorMessage="1" sqref="H4:H54" xr:uid="{852C5ADF-B2F9-434A-B063-004409CD4BDA}">
      <formula1>0</formula1>
      <formula2>100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B8" sqref="B8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:A13">_xll.AuLiComGetScenes()</f>
        <v>Green3</v>
      </c>
      <c r="B2" s="9">
        <v>1</v>
      </c>
    </row>
    <row r="3" spans="1:2" x14ac:dyDescent="0.25">
      <c r="A3" s="9" t="str">
        <v>Green4</v>
      </c>
      <c r="B3" s="9">
        <v>1</v>
      </c>
    </row>
    <row r="4" spans="1:2" x14ac:dyDescent="0.25">
      <c r="A4" s="9" t="str">
        <v>Blue2</v>
      </c>
      <c r="B4" s="9">
        <v>1</v>
      </c>
    </row>
    <row r="5" spans="1:2" x14ac:dyDescent="0.25">
      <c r="A5" s="9" t="str">
        <v>Blue3</v>
      </c>
      <c r="B5" s="9">
        <v>1</v>
      </c>
    </row>
    <row r="6" spans="1:2" x14ac:dyDescent="0.25">
      <c r="A6" s="9" t="str">
        <v>Red4</v>
      </c>
      <c r="B6" s="9">
        <v>1</v>
      </c>
    </row>
    <row r="7" spans="1:2" x14ac:dyDescent="0.25">
      <c r="A7" s="9" t="str">
        <v>Green1</v>
      </c>
      <c r="B7" s="9">
        <v>1</v>
      </c>
    </row>
    <row r="8" spans="1:2" x14ac:dyDescent="0.25">
      <c r="A8" s="9" t="str">
        <v>Blue4</v>
      </c>
      <c r="B8" s="9">
        <v>1</v>
      </c>
    </row>
    <row r="9" spans="1:2" x14ac:dyDescent="0.25">
      <c r="A9" s="9" t="str">
        <v>Red1</v>
      </c>
      <c r="B9" s="9">
        <v>1</v>
      </c>
    </row>
    <row r="10" spans="1:2" x14ac:dyDescent="0.25">
      <c r="A10" s="9" t="str">
        <v>Red2</v>
      </c>
      <c r="B10" s="9">
        <v>1</v>
      </c>
    </row>
    <row r="11" spans="1:2" x14ac:dyDescent="0.25">
      <c r="A11" s="9" t="str">
        <v>Red3</v>
      </c>
      <c r="B11" s="9">
        <v>1</v>
      </c>
    </row>
    <row r="12" spans="1:2" x14ac:dyDescent="0.25">
      <c r="A12" s="9" t="str">
        <v>Green2</v>
      </c>
      <c r="B12" s="9">
        <v>1</v>
      </c>
    </row>
    <row r="13" spans="1:2" x14ac:dyDescent="0.25">
      <c r="A13" s="9" t="str">
        <v>Blue1</v>
      </c>
      <c r="B13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B5" sqref="B5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21</v>
      </c>
    </row>
    <row r="3" spans="1:28" x14ac:dyDescent="0.25">
      <c r="A3" s="1" t="s">
        <v>2</v>
      </c>
      <c r="B3" s="1" t="s">
        <v>24</v>
      </c>
      <c r="C3" s="1" t="s">
        <v>22</v>
      </c>
      <c r="D3" s="1" t="s">
        <v>23</v>
      </c>
    </row>
    <row r="4" spans="1:28" x14ac:dyDescent="0.25">
      <c r="A4" s="2" t="s">
        <v>26</v>
      </c>
      <c r="B4" s="2" t="s">
        <v>25</v>
      </c>
      <c r="C4" s="2">
        <v>100</v>
      </c>
      <c r="D4" s="2" t="s">
        <v>27</v>
      </c>
      <c r="E4" s="2" t="s">
        <v>29</v>
      </c>
      <c r="F4" s="2" t="s">
        <v>28</v>
      </c>
      <c r="G4" s="2" t="s">
        <v>89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Reds</v>
      </c>
    </row>
    <row r="5" spans="1:28" x14ac:dyDescent="0.25">
      <c r="A5" s="2" t="s">
        <v>36</v>
      </c>
      <c r="B5" s="2" t="s">
        <v>37</v>
      </c>
      <c r="C5" s="2">
        <v>150</v>
      </c>
      <c r="D5" s="2" t="s">
        <v>27</v>
      </c>
      <c r="E5" s="2" t="s">
        <v>29</v>
      </c>
      <c r="F5" s="2" t="s">
        <v>28</v>
      </c>
      <c r="G5" s="2" t="s">
        <v>89</v>
      </c>
      <c r="H5" s="2" t="s">
        <v>33</v>
      </c>
      <c r="I5" s="2" t="s">
        <v>34</v>
      </c>
      <c r="J5" s="2" t="s">
        <v>35</v>
      </c>
      <c r="K5" s="2" t="s">
        <v>90</v>
      </c>
      <c r="L5" s="2" t="s">
        <v>30</v>
      </c>
      <c r="M5" s="2" t="s">
        <v>31</v>
      </c>
      <c r="N5" s="2" t="s">
        <v>32</v>
      </c>
      <c r="O5" s="2" t="s">
        <v>91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All Colors</v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Overview</vt:lpstr>
      <vt:lpstr>Fixture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2023-08-15T18:14:56Z</dcterms:modified>
</cp:coreProperties>
</file>