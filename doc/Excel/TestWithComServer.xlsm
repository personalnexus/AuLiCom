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785" documentId="8_{33E53E1F-A3F6-4075-900F-54641BCFD3E8}" xr6:coauthVersionLast="47" xr6:coauthVersionMax="47" xr10:uidLastSave="{94541316-709F-4CD3-A761-3D3CB4484CDC}"/>
  <bookViews>
    <workbookView xWindow="5250" yWindow="1590" windowWidth="31620" windowHeight="18510" xr2:uid="{AB2CF87F-81B4-4088-AE2E-2820582A8761}"/>
  </bookViews>
  <sheets>
    <sheet name="Overview" sheetId="1" r:id="rId1"/>
    <sheet name="Fixture Definition" sheetId="3" r:id="rId2"/>
    <sheet name="Scene Definition" sheetId="2" r:id="rId3"/>
    <sheet name="Channels" sheetId="8" r:id="rId4"/>
    <sheet name="Scene Player" sheetId="4" r:id="rId5"/>
    <sheet name="Chasers" sheetId="5" r:id="rId6"/>
  </sheets>
  <definedNames>
    <definedName name="ChannelManualMode">Channels!$I$1</definedName>
    <definedName name="ChannelMaster">Channels!$H$1</definedName>
    <definedName name="ChannelsVersion">Overview!$A$6</definedName>
    <definedName name="ChaserKinds">OFFSET(Overview!$C$2,0,0,COUNTA(Overview!$C:$C)-1)</definedName>
    <definedName name="DmxVersion">Overview!$A$3</definedName>
    <definedName name="FixturesVersion">Overview!$A$4</definedName>
    <definedName name="FixtureTypes">OFFSET(Overview!$D$2,0,0,COUNTA(Overview!$D:$D)-1)</definedName>
    <definedName name="SceneNames">OFFSET(Overview!$E$2,0,0,COUNTA(Overview!$E:$E)-1)</definedName>
    <definedName name="ScenesVersion">Overview!$A$5</definedName>
    <definedName name="SelectedPort">Overview!$A$2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" i="2" l="1" a="1"/>
  <c r="Q1" i="2" s="1"/>
  <c r="R1" i="2" a="1"/>
  <c r="R1" i="2" s="1"/>
  <c r="S1" i="2" a="1"/>
  <c r="S1" i="2" s="1"/>
  <c r="I49" i="8" a="1"/>
  <c r="I51" i="8" a="1"/>
  <c r="I53" i="8" a="1"/>
  <c r="I50" i="8" a="1"/>
  <c r="I52" i="8" a="1"/>
  <c r="I54" i="8" a="1"/>
  <c r="F1" i="2" a="1"/>
  <c r="H1" i="2" a="1"/>
  <c r="J1" i="2" a="1"/>
  <c r="L1" i="2" a="1"/>
  <c r="I1" i="2" a="1"/>
  <c r="M1" i="2" a="1"/>
  <c r="N1" i="2" a="1"/>
  <c r="G1" i="2" a="1"/>
  <c r="K1" i="2" a="1"/>
  <c r="O1" i="2" a="1"/>
  <c r="P1" i="2" a="1"/>
  <c r="E1" i="2" a="1"/>
  <c r="D2" i="1" a="1"/>
  <c r="C2" i="1" a="1"/>
  <c r="E2" i="1" a="1"/>
  <c r="A4" i="2" a="1"/>
  <c r="I54" i="8" l="1"/>
  <c r="I52" i="8"/>
  <c r="I50" i="8"/>
  <c r="I53" i="8"/>
  <c r="I51" i="8"/>
  <c r="I49" i="8"/>
  <c r="P1" i="2"/>
  <c r="O1" i="2"/>
  <c r="K1" i="2"/>
  <c r="G1" i="2"/>
  <c r="N1" i="2"/>
  <c r="M1" i="2"/>
  <c r="I1" i="2"/>
  <c r="L1" i="2"/>
  <c r="J1" i="2"/>
  <c r="H1" i="2"/>
  <c r="F1" i="2"/>
  <c r="E1" i="2"/>
  <c r="D2" i="1"/>
  <c r="E2" i="1"/>
  <c r="A4" i="2"/>
  <c r="C2" i="1"/>
  <c r="A7" i="8" a="1"/>
  <c r="C4" i="8" a="1"/>
  <c r="I18" i="8" a="1"/>
  <c r="I34" i="8" a="1"/>
  <c r="G4" i="8" a="1"/>
  <c r="I19" i="8" a="1"/>
  <c r="I35" i="8" a="1"/>
  <c r="I4" i="8" a="1"/>
  <c r="I20" i="8" a="1"/>
  <c r="I36" i="8" a="1"/>
  <c r="I45" i="8" a="1"/>
  <c r="I29" i="8" a="1"/>
  <c r="I13" i="8" a="1"/>
  <c r="I46" i="8" a="1"/>
  <c r="I47" i="8" a="1"/>
  <c r="I48" i="8" a="1"/>
  <c r="I6" i="8" a="1"/>
  <c r="I22" i="8" a="1"/>
  <c r="I38" i="8" a="1"/>
  <c r="I7" i="8" a="1"/>
  <c r="I23" i="8" a="1"/>
  <c r="I39" i="8" a="1"/>
  <c r="I8" i="8" a="1"/>
  <c r="I24" i="8" a="1"/>
  <c r="I40" i="8" a="1"/>
  <c r="I41" i="8" a="1"/>
  <c r="I25" i="8" a="1"/>
  <c r="I9" i="8" a="1"/>
  <c r="I14" i="8" a="1"/>
  <c r="I15" i="8" a="1"/>
  <c r="I16" i="8" a="1"/>
  <c r="I33" i="8" a="1"/>
  <c r="I10" i="8" a="1"/>
  <c r="I26" i="8" a="1"/>
  <c r="I42" i="8" a="1"/>
  <c r="I11" i="8" a="1"/>
  <c r="I27" i="8" a="1"/>
  <c r="I43" i="8" a="1"/>
  <c r="I12" i="8" a="1"/>
  <c r="I28" i="8" a="1"/>
  <c r="I44" i="8" a="1"/>
  <c r="I37" i="8" a="1"/>
  <c r="I21" i="8" a="1"/>
  <c r="I5" i="8" a="1"/>
  <c r="I30" i="8" a="1"/>
  <c r="I31" i="8" a="1"/>
  <c r="I32" i="8" a="1"/>
  <c r="I17" i="8" a="1"/>
  <c r="A7" i="8" l="1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G4" i="8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B6" i="5" a="1"/>
  <c r="AB6" i="5" s="1"/>
  <c r="AB4" i="5" a="1"/>
  <c r="AB5" i="5" a="1"/>
  <c r="AB5" i="5" l="1"/>
  <c r="AB4" i="5"/>
  <c r="A3" i="1" a="1"/>
  <c r="A12" i="1" a="1"/>
  <c r="A2" i="4" a="1"/>
  <c r="A4" i="1" a="1"/>
  <c r="A6" i="1" a="1"/>
  <c r="A5" i="1" a="1"/>
  <c r="A12" i="1" l="1"/>
  <c r="A4" i="1"/>
  <c r="A2" i="4"/>
  <c r="A5" i="1"/>
  <c r="A6" i="1"/>
  <c r="A3" i="1"/>
  <c r="F37" i="3" a="1"/>
  <c r="F23" i="3" a="1"/>
  <c r="F2" i="3" a="1"/>
  <c r="F9" i="3" a="1"/>
  <c r="F14" i="3" a="1"/>
  <c r="F30" i="3" a="1"/>
  <c r="F28" i="3" a="1"/>
  <c r="F3" i="3" a="1"/>
  <c r="F7" i="3" a="1"/>
  <c r="F29" i="3" a="1"/>
  <c r="F38" i="3" a="1"/>
  <c r="F25" i="3" a="1"/>
  <c r="F10" i="3" a="1"/>
  <c r="F32" i="3" a="1"/>
  <c r="F24" i="3" a="1"/>
  <c r="F34" i="3" a="1"/>
  <c r="F8" i="3" a="1"/>
  <c r="F5" i="3" a="1"/>
  <c r="F19" i="3" a="1"/>
  <c r="F11" i="3" a="1"/>
  <c r="F15" i="3" a="1"/>
  <c r="F4" i="3" a="1"/>
  <c r="F12" i="3" a="1"/>
  <c r="F16" i="3" a="1"/>
  <c r="F39" i="3" a="1"/>
  <c r="F26" i="3" a="1"/>
  <c r="F6" i="3" a="1"/>
  <c r="F21" i="3" a="1"/>
  <c r="F27" i="3" a="1"/>
  <c r="F33" i="3" a="1"/>
  <c r="F31" i="3" a="1"/>
  <c r="F22" i="3" a="1"/>
  <c r="F35" i="3" a="1"/>
  <c r="F17" i="3" a="1"/>
  <c r="F13" i="3" a="1"/>
  <c r="F20" i="3" a="1"/>
  <c r="F36" i="3" a="1"/>
  <c r="F18" i="3" a="1"/>
  <c r="F22" i="3" l="1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2" i="3" a="1"/>
  <c r="D39" i="3" a="1"/>
  <c r="D3" i="3" a="1"/>
  <c r="D31" i="3" a="1"/>
  <c r="D26" i="3" a="1"/>
  <c r="D16" i="3" a="1"/>
  <c r="D5" i="3" a="1"/>
  <c r="D18" i="3" a="1"/>
  <c r="D36" i="3" a="1"/>
  <c r="D24" i="3" a="1"/>
  <c r="D7" i="3" a="1"/>
  <c r="D22" i="3" a="1"/>
  <c r="D8" i="3" a="1"/>
  <c r="D34" i="3" a="1"/>
  <c r="D33" i="3" a="1"/>
  <c r="D35" i="3" a="1"/>
  <c r="D9" i="3" a="1"/>
  <c r="D29" i="3" a="1"/>
  <c r="D10" i="3" a="1"/>
  <c r="D4" i="3" a="1"/>
  <c r="D25" i="3" a="1"/>
  <c r="D30" i="3" a="1"/>
  <c r="D27" i="3" a="1"/>
  <c r="D17" i="3" a="1"/>
  <c r="D23" i="3" a="1"/>
  <c r="D21" i="3" a="1"/>
  <c r="D12" i="3" a="1"/>
  <c r="D13" i="3" a="1"/>
  <c r="D37" i="3" a="1"/>
  <c r="D19" i="3" a="1"/>
  <c r="D6" i="3" a="1"/>
  <c r="D32" i="3" a="1"/>
  <c r="D15" i="3" a="1"/>
  <c r="D14" i="3" a="1"/>
  <c r="D28" i="3" a="1"/>
  <c r="D11" i="3" a="1"/>
  <c r="D38" i="3" a="1"/>
  <c r="D20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<sst xmlns="http://schemas.openxmlformats.org/spreadsheetml/2006/main" count="144" uniqueCount="97">
  <si>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</si>
  <si>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</si>
  <si>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</si>
  <si>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</si>
  <si>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</si>
  <si>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</si>
  <si>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</si>
  <si>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</si>
  <si>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</si>
  <si>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</si>
  <si>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</si>
  <si>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</si>
  <si>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</si>
  <si>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</si>
  <si>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</si>
  <si>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</si>
  <si>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</si>
  <si>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</si>
  <si>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</si>
  <si>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</si>
  <si>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COM6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</si>
  <si>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</si>
  <si>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</si>
  <si>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</si>
  <si>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</si>
  <si>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</si>
  <si>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</si>
  <si>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</si>
  <si>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</si>
  <si>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</si>
  <si>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</si>
  <si>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</si>
  <si>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</si>
  <si>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</si>
  <si>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</si>
  <si>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</si>
  <si>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</si>
  <si>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</si>
  <si>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</si>
  <si>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</si>
  <si>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</si>
  <si>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</si>
  <si>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</si>
  <si>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</si>
  <si>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</si>
  <si>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</si>
  <si>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</si>
  <si>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</si>
  <si>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</si>
  <si>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</si>
  <si>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</si>
  <si>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</si>
  <si>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</si>
  <si>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</si>
  <si>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</si>
  <si>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</si>
  <si>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</si>
  <si>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</si>
  <si>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</si>
  <si>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</si>
  <si>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</si>
  <si>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</si>
  <si>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</si>
  <si>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</si>
  <si>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</si>
  <si>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</si>
  <si>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</si>
  <si>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</si>
  <si>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</si>
  <si>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</si>
  <si>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</si>
  <si>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</si>
  <si>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</si>
  <si>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</si>
  <si>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</si>
  <si>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</si>
  <si>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</si>
  <si>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</si>
  <si>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</si>
  <si>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</si>
  <si>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</si>
  <si>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</si>
  <si>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</si>
  <si>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</si>
  <si>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</si>
  <si>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</si>
  <si>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</si>
  <si>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</si>
  <si>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</si>
  <si>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</si>
  <si>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</si>
  <si>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</si>
  <si>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</si>
  <si>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</si>
  <si>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SCENE NAMES</t>
  </si>
  <si>
    <t>PORT</t>
  </si>
  <si>
    <t>Created scenes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</si>
</sst>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9" fillId="2" borderId="2" xfId="1" applyFont="1" applyBorder="1"/>
    <xf numFmtId="0" fontId="4" fillId="0" borderId="0" xfId="0" applyFont="1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12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fe37b6d79eed42f99079fd56632d4892">
      <tp>
        <v>467</v>
        <stp/>
        <stp>8a2997f0-68c0-4c0e-9547-f67886dc113a</stp>
        <tr r="A6" s="1"/>
      </tp>
    </main>
    <main first="rtdsrv_fe37b6d79eed42f99079fd56632d4892">
      <tp>
        <v>39</v>
        <stp/>
        <stp>62a3c4db-ccf4-4ad0-8468-f97306b12ac8</stp>
        <tr r="G4" s="8"/>
        <tr r="E1" s="2"/>
        <tr r="E1" s="2"/>
        <tr r="P1" s="2"/>
        <tr r="P1" s="2"/>
        <tr r="O1" s="2"/>
        <tr r="O1" s="2"/>
        <tr r="K1" s="2"/>
        <tr r="K1" s="2"/>
        <tr r="G1" s="2"/>
        <tr r="G1" s="2"/>
        <tr r="N1" s="2"/>
        <tr r="N1" s="2"/>
        <tr r="M1" s="2"/>
        <tr r="M1" s="2"/>
        <tr r="I1" s="2"/>
        <tr r="I1" s="2"/>
        <tr r="L1" s="2"/>
        <tr r="L1" s="2"/>
        <tr r="J1" s="2"/>
        <tr r="J1" s="2"/>
        <tr r="H1" s="2"/>
        <tr r="H1" s="2"/>
        <tr r="F1" s="2"/>
        <tr r="F1" s="2"/>
      </tp>
    </main>
    <main first="rtdsrv_fe37b6d79eed42f99079fd56632d4892">
      <tp>
        <v>39</v>
        <stp/>
        <stp>f73ac792-beb7-4d80-995a-411916b3e269</stp>
        <tr r="C4" s="8"/>
        <tr r="A4" s="2"/>
      </tp>
      <tp>
        <v>39</v>
        <stp/>
        <stp>1f474496-0e7a-4411-a567-c65f03ad03ee</stp>
        <tr r="A4" s="1"/>
      </tp>
      <tp>
        <v>25</v>
        <stp/>
        <stp>047d522a-b5ff-44ef-abc5-c88528fd77ed</stp>
        <tr r="A2" s="4"/>
        <tr r="E2" s="1"/>
      </tp>
    </main>
    <main first="rtdsrv_fe37b6d79eed42f99079fd56632d4892">
      <tp>
        <v>419</v>
        <stp/>
        <stp>1d3f37f8-f175-4080-a84f-b1d3ca765460</stp>
        <tr r="G4" s="8"/>
      </tp>
    </main>
    <main first="rtdsrv_fe37b6d79eed42f99079fd56632d4892">
      <tp>
        <v>25</v>
        <stp/>
        <stp>60462aa9-be3a-4305-a46c-f495c9ba4e88</stp>
        <tr r="A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76200</xdr:rowOff>
        </xdr:from>
        <xdr:to>
          <xdr:col>0</xdr:col>
          <xdr:colOff>1038225</xdr:colOff>
          <xdr:row>7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17"/>
  <sheetViews>
    <sheetView tabSelected="1" workbookViewId="0">
      <selection activeCell="C1" sqref="C1"/>
    </sheetView>
  </sheetViews>
  <sheetFormatPr defaultRowHeight="15" x14ac:dyDescent="0.25"/>
  <cols>
    <col min="1" max="1" width="21.7109375" customWidth="1"/>
    <col min="3" max="3" width="13.7109375" bestFit="1" customWidth="1"/>
    <col min="4" max="4" width="33.28515625" bestFit="1" customWidth="1"/>
    <col min="5" max="5" width="13.7109375" bestFit="1" customWidth="1"/>
  </cols>
  <sheetData>
    <row r="1" spans="1:12" x14ac:dyDescent="0.25">
      <c r="A1" s="1" t="s">
        <v>95</v>
      </c>
      <c r="C1" s="11" t="s">
        <v>92</v>
      </c>
      <c r="D1" s="1" t="s">
        <v>93</v>
      </c>
      <c r="E1" s="1" t="s">
        <v>94</v>
      </c>
    </row>
    <row r="2" spans="1:12" x14ac:dyDescent="0.25">
      <c r="A2" s="2" t="s">
        <v>20</v>
      </c>
      <c r="C2" t="str" cm="1">
        <f t="array" ref="C2:C5">_xll.AuLiComGetChaserTypes()</f>
        <v>Once</v>
      </c>
      <c r="D2" t="str" cm="1">
        <f t="array" ref="D2:D16">_xlfn._xlws.SORT(_xll.AuLiComGetFixtureTypes())</f>
        <v>AriaPc</v>
      </c>
      <c r="E2" t="str" cm="1">
        <f t="array" ref="E2:E13">_xlfn._xlws.SORT(_xll.AuLiComGetScenes())</f>
        <v>Blue1</v>
      </c>
    </row>
    <row r="3" spans="1:12" x14ac:dyDescent="0.25">
      <c r="A3" s="3" t="str" cm="1">
        <f t="array" ref="A3">_xll.AuLiComSetDmxConnection(SelectedPort)</f>
        <v>DMX:COM6</v>
      </c>
      <c r="C3" t="str">
        <v>Loop</v>
      </c>
      <c r="D3" t="str">
        <v>CameoLedBar_12Ch</v>
      </c>
      <c r="E3" t="str">
        <v>Blue2</v>
      </c>
      <c r="L3" s="1"/>
    </row>
    <row r="4" spans="1:12" x14ac:dyDescent="0.25">
      <c r="A4" s="3" t="str" cm="1">
        <f t="array" ref="A4">"FIXTURES:"&amp;_xll.AuLiComGetFixturesVersion()</f>
        <v>FIXTURES:38</v>
      </c>
      <c r="C4" t="str">
        <v>BackAndForth</v>
      </c>
      <c r="D4" t="str">
        <v>CameoLedBar_3Ch2</v>
      </c>
      <c r="E4" t="str">
        <v>Blue3</v>
      </c>
    </row>
    <row r="5" spans="1:12" x14ac:dyDescent="0.25">
      <c r="A5" s="3" t="str" cm="1">
        <f t="array" ref="A5">"SCENES:"&amp;_xll.AuLiComGetScenesVersion()</f>
        <v>SCENES:24</v>
      </c>
      <c r="C5" t="str">
        <v>Random</v>
      </c>
      <c r="D5" t="str">
        <v>CameoPixBar650CPro_3Ch1</v>
      </c>
      <c r="E5" t="str">
        <v>Blue4</v>
      </c>
    </row>
    <row r="6" spans="1:12" x14ac:dyDescent="0.25">
      <c r="A6" s="3" t="str" cm="1">
        <f t="array" ref="A6">"CHANNELS:"&amp;_xll.AuLiComGetChannelsVersion()</f>
        <v>CHANNELS:511</v>
      </c>
      <c r="D6" t="str">
        <v>CameoPixBar650CPro_3Ch2</v>
      </c>
      <c r="E6" t="str">
        <v>Green1</v>
      </c>
    </row>
    <row r="7" spans="1:12" x14ac:dyDescent="0.25">
      <c r="D7" t="str">
        <v>CameoThunderWash600Rgbw_7Ch2</v>
      </c>
      <c r="E7" t="str">
        <v>Green2</v>
      </c>
    </row>
    <row r="8" spans="1:12" x14ac:dyDescent="0.25">
      <c r="D8" t="str">
        <v>CantataPc</v>
      </c>
      <c r="E8" t="str">
        <v>Green3</v>
      </c>
    </row>
    <row r="9" spans="1:12" x14ac:dyDescent="0.25">
      <c r="D9" t="str">
        <v>CantataProfiler</v>
      </c>
      <c r="E9" t="str">
        <v>Green4</v>
      </c>
    </row>
    <row r="10" spans="1:12" x14ac:dyDescent="0.25">
      <c r="A10" s="4" t="s">
        <v>0</v>
      </c>
      <c r="D10" t="str">
        <v>ElationKl4Fresnel_1Ch</v>
      </c>
      <c r="E10" t="str">
        <v>Red1</v>
      </c>
    </row>
    <row r="11" spans="1:12" x14ac:dyDescent="0.25">
      <c r="A11" s="3" t="s">
        <v>19</v>
      </c>
      <c r="D11" t="str">
        <v>GenericLamp</v>
      </c>
      <c r="E11" t="str">
        <v>Red2</v>
      </c>
    </row>
    <row r="12" spans="1:12" x14ac:dyDescent="0.25">
      <c r="A12" s="3" t="e" cm="1">
        <f t="array" ref="A12">_xll.AuLiComGetDmxPorts(TRUE)</f>
        <v>#VALUE!</v>
      </c>
      <c r="D12" t="str">
        <v>OtherPc</v>
      </c>
      <c r="E12" t="str">
        <v>Red3</v>
      </c>
    </row>
    <row r="13" spans="1:12" x14ac:dyDescent="0.25">
      <c r="D13" t="str">
        <v>Par56Silver</v>
      </c>
      <c r="E13" t="str">
        <v>Red4</v>
      </c>
    </row>
    <row r="14" spans="1:12" x14ac:dyDescent="0.25">
      <c r="D14" t="str">
        <v>Par64</v>
      </c>
    </row>
    <row r="15" spans="1:12" x14ac:dyDescent="0.25">
      <c r="D15" t="str">
        <v>Profiler</v>
      </c>
    </row>
    <row r="16" spans="1:12" x14ac:dyDescent="0.25">
      <c r="A16" s="3"/>
      <c r="D16" t="str">
        <v>Quartz</v>
      </c>
    </row>
    <row r="17" spans="1:1" x14ac:dyDescent="0.25">
      <c r="A17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6</xdr:row>
                    <xdr:rowOff>76200</xdr:rowOff>
                  </from>
                  <to>
                    <xdr:col>0</xdr:col>
                    <xdr:colOff>1038225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/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12</v>
      </c>
      <c r="C1" s="1" t="s">
        <v>13</v>
      </c>
      <c r="D1" s="1" t="s">
        <v>14</v>
      </c>
      <c r="E1" s="1" t="s">
        <v>83</v>
      </c>
      <c r="F1" s="1"/>
      <c r="J1" s="1"/>
    </row>
    <row r="2" spans="1:10" x14ac:dyDescent="0.25">
      <c r="A2" s="2" t="s">
        <v>50</v>
      </c>
      <c r="B2" s="2" t="s">
        <v>38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40</v>
      </c>
      <c r="B3" s="2" t="s">
        <v>39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51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52</v>
      </c>
      <c r="B5" s="2" t="s">
        <v>53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54</v>
      </c>
      <c r="B6" s="2" t="s">
        <v>55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41</v>
      </c>
      <c r="B7" s="2" t="s">
        <v>56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42</v>
      </c>
      <c r="B8" s="2" t="s">
        <v>56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57</v>
      </c>
      <c r="B9" s="2" t="s">
        <v>58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59</v>
      </c>
      <c r="B10" s="2" t="s">
        <v>58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60</v>
      </c>
      <c r="B11" s="2" t="s">
        <v>58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61</v>
      </c>
      <c r="B12" s="2" t="s">
        <v>58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62</v>
      </c>
      <c r="B13" s="2" t="s">
        <v>58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63</v>
      </c>
      <c r="B14" s="2" t="s">
        <v>38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64</v>
      </c>
      <c r="B15" s="2" t="s">
        <v>53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65</v>
      </c>
      <c r="B16" s="2" t="s">
        <v>38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66</v>
      </c>
      <c r="B17" s="2" t="s">
        <v>53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67</v>
      </c>
      <c r="B18" s="2" t="s">
        <v>85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25">
      <c r="A19" s="2" t="s">
        <v>68</v>
      </c>
      <c r="B19" s="2" t="s">
        <v>85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25">
      <c r="A20" s="2" t="s">
        <v>69</v>
      </c>
      <c r="B20" s="2" t="s">
        <v>85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25">
      <c r="A21" s="2" t="s">
        <v>70</v>
      </c>
      <c r="B21" s="2" t="s">
        <v>53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25">
      <c r="A22" s="2" t="s">
        <v>71</v>
      </c>
      <c r="B22" s="2" t="s">
        <v>85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25">
      <c r="A23" s="2" t="s">
        <v>72</v>
      </c>
      <c r="B23" s="2" t="s">
        <v>38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73</v>
      </c>
      <c r="B24" s="2" t="s">
        <v>53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74</v>
      </c>
      <c r="B25" s="2" t="s">
        <v>38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76</v>
      </c>
      <c r="B26" s="2" t="s">
        <v>75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43</v>
      </c>
      <c r="B27" s="2" t="s">
        <v>86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25">
      <c r="A28" s="2" t="s">
        <v>44</v>
      </c>
      <c r="B28" s="2" t="s">
        <v>38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45</v>
      </c>
      <c r="B29" s="2" t="s">
        <v>38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46</v>
      </c>
      <c r="B30" s="2" t="s">
        <v>38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47</v>
      </c>
      <c r="B31" s="2" t="s">
        <v>38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48</v>
      </c>
      <c r="B32" s="2" t="s">
        <v>38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49</v>
      </c>
      <c r="B33" s="2" t="s">
        <v>38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78</v>
      </c>
      <c r="B34" s="2" t="s">
        <v>53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25">
      <c r="A35" s="2" t="s">
        <v>78</v>
      </c>
      <c r="B35" s="2" t="s">
        <v>77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25">
      <c r="A36" s="2" t="s">
        <v>79</v>
      </c>
      <c r="B36" s="2" t="s">
        <v>84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25">
      <c r="A37" s="2" t="s">
        <v>80</v>
      </c>
      <c r="B37" s="2" t="s">
        <v>84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25">
      <c r="A38" s="2" t="s">
        <v>81</v>
      </c>
      <c r="B38" s="2" t="s">
        <v>84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25">
      <c r="A39" s="2" t="s">
        <v>82</v>
      </c>
      <c r="B39" s="2" t="s">
        <v>84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S54"/>
  <sheetViews>
    <sheetView workbookViewId="0">
      <pane ySplit="3" topLeftCell="A4" activePane="bottomLeft" state="frozen"/>
      <selection pane="bottomLeft" activeCell="E3" sqref="E3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19" x14ac:dyDescent="0.25">
      <c r="C1" s="1"/>
      <c r="D1" s="14" t="s">
        <v>96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_xll.AuLiComSetScene(Q3,OFFSET(P3,1,0,_xll.AuLiComGetFixtureChannelCountTotal(),1),OFFSET(Q3,1,0,_xll.AuLiComGetFixtureChannelCountTotal(),1))))</f>
        <v/>
      </c>
      <c r="R1" s="3" t="str" cm="1">
        <f t="array" aca="1" ref="R1" ca="1">IF(R3="",
       "",
       IF(COUNTIF(3:3,R3)&gt;1,
             "Scene Name must be unique",
             _xll.AuLiComSetScene(R3,OFFSET(Q3,1,0,_xll.AuLiComGetFixtureChannelCountTotal(),1),OFFSET(R3,1,0,_xll.AuLiComGetFixtureChannelCountTotal(),1))))</f>
        <v/>
      </c>
      <c r="S1" s="3" t="str" cm="1">
        <f t="array" aca="1" ref="S1" ca="1">IF(S3="",
       "",
       IF(COUNTIF(3:3,S3)&gt;1,
             "Scene Name must be unique",
             _xll.AuLiComSetScene(S3,OFFSET(R3,1,0,_xll.AuLiComGetFixtureChannelCountTotal(),1),OFFSET(S3,1,0,_xll.AuLiComGetFixtureChannelCountTotal(),1))))</f>
        <v/>
      </c>
    </row>
    <row r="2" spans="1:19" x14ac:dyDescent="0.25">
      <c r="C2" s="5"/>
      <c r="D2" s="5"/>
      <c r="E2" s="1" t="s">
        <v>88</v>
      </c>
    </row>
    <row r="3" spans="1:19" x14ac:dyDescent="0.25">
      <c r="A3" s="1" t="s">
        <v>9</v>
      </c>
      <c r="B3" s="1" t="s">
        <v>12</v>
      </c>
      <c r="C3" s="1" t="s">
        <v>87</v>
      </c>
      <c r="D3" s="1" t="s">
        <v>3</v>
      </c>
      <c r="E3" s="12" t="s">
        <v>27</v>
      </c>
      <c r="F3" s="12" t="s">
        <v>29</v>
      </c>
      <c r="G3" s="12" t="s">
        <v>28</v>
      </c>
      <c r="H3" s="12" t="s">
        <v>89</v>
      </c>
      <c r="I3" s="12" t="s">
        <v>33</v>
      </c>
      <c r="J3" s="12" t="s">
        <v>34</v>
      </c>
      <c r="K3" s="13" t="s">
        <v>35</v>
      </c>
      <c r="L3" s="13" t="s">
        <v>90</v>
      </c>
      <c r="M3" s="13" t="s">
        <v>30</v>
      </c>
      <c r="N3" s="13" t="s">
        <v>31</v>
      </c>
      <c r="O3" s="13" t="s">
        <v>32</v>
      </c>
      <c r="P3" s="13" t="s">
        <v>91</v>
      </c>
      <c r="Q3" s="13"/>
      <c r="R3" s="13"/>
      <c r="S3" s="13"/>
    </row>
    <row r="4" spans="1:19" x14ac:dyDescent="0.25">
      <c r="A4" t="str" cm="1">
        <f t="array" ref="A4:D54">_xll.AuLiComGetFixtureChannelInfos()</f>
        <v>Frontlicht 1 links</v>
      </c>
      <c r="B4" t="str">
        <v>CantataPc</v>
      </c>
      <c r="C4" t="str">
        <v>Intensity</v>
      </c>
      <c r="D4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t="str">
        <v>Cantata Profiler</v>
      </c>
      <c r="B5" t="str">
        <v>CantataProfiler</v>
      </c>
      <c r="C5" t="str">
        <v>Intensity</v>
      </c>
      <c r="D5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t="str">
        <v>Frontlicht 1 rechts</v>
      </c>
      <c r="B6" t="str">
        <v>GenericLamp</v>
      </c>
      <c r="C6" t="str">
        <v>Intensity</v>
      </c>
      <c r="D6">
        <v>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t="str">
        <v>Frontlicht Band 2</v>
      </c>
      <c r="B7" t="str">
        <v>Par64</v>
      </c>
      <c r="C7" t="str">
        <v>Intensity</v>
      </c>
      <c r="D7">
        <v>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t="str">
        <v>Gegenlicht</v>
      </c>
      <c r="B8" t="str">
        <v>Par56Silver</v>
      </c>
      <c r="C8" t="str">
        <v>Intensity</v>
      </c>
      <c r="D8">
        <v>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t="str">
        <v>Profiler links</v>
      </c>
      <c r="B9" t="str">
        <v>Profiler</v>
      </c>
      <c r="C9" t="str">
        <v>Intensity</v>
      </c>
      <c r="D9">
        <v>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t="str">
        <v>Profiler rechts</v>
      </c>
      <c r="B10" t="str">
        <v>Profiler</v>
      </c>
      <c r="C10" t="str">
        <v>Intensity</v>
      </c>
      <c r="D10">
        <v>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t="str">
        <v>Frontlicht 2 links</v>
      </c>
      <c r="B11" t="str">
        <v>ElationKl4Fresnel_1Ch</v>
      </c>
      <c r="C11" t="str">
        <v>Intensity</v>
      </c>
      <c r="D11">
        <v>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t="str">
        <v>Frontlicht 2 links-mitte</v>
      </c>
      <c r="B12" t="str">
        <v>ElationKl4Fresnel_1Ch</v>
      </c>
      <c r="C12" t="str">
        <v>Intensity</v>
      </c>
      <c r="D12">
        <v>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t="str">
        <v>Frontlicht 2 mitte</v>
      </c>
      <c r="B13" t="str">
        <v>ElationKl4Fresnel_1Ch</v>
      </c>
      <c r="C13" t="str">
        <v>Intensity</v>
      </c>
      <c r="D13">
        <v>10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t="str">
        <v>Frontlicht 2 rechts-mitte</v>
      </c>
      <c r="B14" t="str">
        <v>ElationKl4Fresnel_1Ch</v>
      </c>
      <c r="C14" t="str">
        <v>Intensity</v>
      </c>
      <c r="D14">
        <v>11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t="str">
        <v>Frontlicht 2 rechts</v>
      </c>
      <c r="B15" t="str">
        <v>ElationKl4Fresnel_1Ch</v>
      </c>
      <c r="C15" t="str">
        <v>Intensity</v>
      </c>
      <c r="D15">
        <v>12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t="str">
        <v>Seitenlicht 1 links</v>
      </c>
      <c r="B16" t="str">
        <v>CantataPc</v>
      </c>
      <c r="C16" t="str">
        <v>Intensity</v>
      </c>
      <c r="D16">
        <v>13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t="str">
        <v>Gegenlicht Traverse links</v>
      </c>
      <c r="B17" t="str">
        <v>Par64</v>
      </c>
      <c r="C17" t="str">
        <v>Intensity</v>
      </c>
      <c r="D17">
        <v>14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A18" t="str">
        <v>Seitenlicht 2 links</v>
      </c>
      <c r="B18" t="str">
        <v>CantataPc</v>
      </c>
      <c r="C18" t="str">
        <v>Intensity</v>
      </c>
      <c r="D18">
        <v>15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25">
      <c r="A19" t="str">
        <v>Spot Rohr links</v>
      </c>
      <c r="B19" t="str">
        <v>Par64</v>
      </c>
      <c r="C19" t="str">
        <v>Intensity</v>
      </c>
      <c r="D19">
        <v>16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25">
      <c r="A20" t="str">
        <v>Frontlicht 3 links</v>
      </c>
      <c r="B20" t="str">
        <v>AriaPc</v>
      </c>
      <c r="C20" t="str">
        <v>Intensity</v>
      </c>
      <c r="D20">
        <v>17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25">
      <c r="A21" t="str">
        <v>Gegenlicht vorne 2x</v>
      </c>
      <c r="B21" t="str">
        <v>AriaPc</v>
      </c>
      <c r="C21" t="str">
        <v>Intensity</v>
      </c>
      <c r="D21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25">
      <c r="A22" t="str">
        <v>Frontlicht 3 mitte</v>
      </c>
      <c r="B22" t="str">
        <v>AriaPc</v>
      </c>
      <c r="C22" t="str">
        <v>Intensity</v>
      </c>
      <c r="D22">
        <v>19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25">
      <c r="A23" t="str">
        <v>Spot Rohr rechts</v>
      </c>
      <c r="B23" t="str">
        <v>Par64</v>
      </c>
      <c r="C23" t="str">
        <v>Intensity</v>
      </c>
      <c r="D23">
        <v>20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25">
      <c r="A24" t="str">
        <v>Frontlicht 3 rechts</v>
      </c>
      <c r="B24" t="str">
        <v>AriaPc</v>
      </c>
      <c r="C24" t="str">
        <v>Intensity</v>
      </c>
      <c r="D24">
        <v>21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25">
      <c r="A25" t="str">
        <v>Seitenlicht 2 rechts</v>
      </c>
      <c r="B25" t="str">
        <v>CantataPc</v>
      </c>
      <c r="C25" t="str">
        <v>Intensity</v>
      </c>
      <c r="D25">
        <v>22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25">
      <c r="A26" t="str">
        <v>Gegenlicht Traverse rechts</v>
      </c>
      <c r="B26" t="str">
        <v>Par64</v>
      </c>
      <c r="C26" t="str">
        <v>Intensity</v>
      </c>
      <c r="D26">
        <v>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25">
      <c r="A27" t="str">
        <v>Seitenlicht 1 rechts</v>
      </c>
      <c r="B27" t="str">
        <v>CantataPc</v>
      </c>
      <c r="C27" t="str">
        <v>Intensity</v>
      </c>
      <c r="D27">
        <v>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25">
      <c r="A28" t="str">
        <v>LED Fluter</v>
      </c>
      <c r="B28" t="str">
        <v>CameoThunderWash600Rgbw_7Ch2</v>
      </c>
      <c r="C28" t="str">
        <v>Intensity</v>
      </c>
      <c r="D28">
        <v>25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25">
      <c r="A29" t="str">
        <v>LED Fluter</v>
      </c>
      <c r="B29" t="str">
        <v>CameoThunderWash600Rgbw_7Ch2</v>
      </c>
      <c r="C29" t="str">
        <v>StrobeSpeed</v>
      </c>
      <c r="D29">
        <v>26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25">
      <c r="A30" t="str">
        <v>LED Fluter</v>
      </c>
      <c r="B30" t="str">
        <v>CameoThunderWash600Rgbw_7Ch2</v>
      </c>
      <c r="C30" t="str">
        <v>FlashDuration</v>
      </c>
      <c r="D30">
        <v>27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25">
      <c r="A31" t="str">
        <v>LED Fluter</v>
      </c>
      <c r="B31" t="str">
        <v>CameoThunderWash600Rgbw_7Ch2</v>
      </c>
      <c r="C31" t="str">
        <v>Red</v>
      </c>
      <c r="D31">
        <v>28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25">
      <c r="A32" t="str">
        <v>LED Fluter</v>
      </c>
      <c r="B32" t="str">
        <v>CameoThunderWash600Rgbw_7Ch2</v>
      </c>
      <c r="C32" t="str">
        <v>Green</v>
      </c>
      <c r="D32">
        <v>29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25">
      <c r="A33" t="str">
        <v>LED Fluter</v>
      </c>
      <c r="B33" t="str">
        <v>CameoThunderWash600Rgbw_7Ch2</v>
      </c>
      <c r="C33" t="str">
        <v>Blue</v>
      </c>
      <c r="D33">
        <v>30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25">
      <c r="A34" t="str">
        <v>LED Fluter</v>
      </c>
      <c r="B34" t="str">
        <v>CameoThunderWash600Rgbw_7Ch2</v>
      </c>
      <c r="C34" t="str">
        <v>White</v>
      </c>
      <c r="D34">
        <v>31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25">
      <c r="A35" t="str">
        <v>Aulalicht</v>
      </c>
      <c r="B35" t="str">
        <v>Quartz</v>
      </c>
      <c r="C35" t="str">
        <v>Intensity</v>
      </c>
      <c r="D35">
        <v>32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25">
      <c r="A36" t="str">
        <v>Seitenlicht 3 links</v>
      </c>
      <c r="B36" t="str">
        <v>CantataPc</v>
      </c>
      <c r="C36" t="str">
        <v>Intensity</v>
      </c>
      <c r="D36">
        <v>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25">
      <c r="A37" t="str">
        <v>Seitenlicht 3 rechts</v>
      </c>
      <c r="B37" t="str">
        <v>CantataPc</v>
      </c>
      <c r="C37" t="str">
        <v>Intensity</v>
      </c>
      <c r="D37">
        <v>35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25">
      <c r="A38" t="str">
        <v>Seitenlicht 4 links</v>
      </c>
      <c r="B38" t="str">
        <v>CantataPc</v>
      </c>
      <c r="C38" t="str">
        <v>Intensity</v>
      </c>
      <c r="D38">
        <v>36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25">
      <c r="A39" t="str">
        <v>Seitenlicht 4 rechts</v>
      </c>
      <c r="B39" t="str">
        <v>CantataPc</v>
      </c>
      <c r="C39" t="str">
        <v>Intensity</v>
      </c>
      <c r="D39">
        <v>37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25">
      <c r="A40" t="str">
        <v>Seitenlicht 5 links</v>
      </c>
      <c r="B40" t="str">
        <v>CantataPc</v>
      </c>
      <c r="C40" t="str">
        <v>Intensity</v>
      </c>
      <c r="D40">
        <v>38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25">
      <c r="A41" t="str">
        <v>Seitenlicht 5 rechts</v>
      </c>
      <c r="B41" t="str">
        <v>CantataPc</v>
      </c>
      <c r="C41" t="str">
        <v>Intensity</v>
      </c>
      <c r="D41">
        <v>39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25">
      <c r="A42" t="str">
        <v>Special über der Bühne</v>
      </c>
      <c r="B42" t="str">
        <v>Par64</v>
      </c>
      <c r="C42" t="str">
        <v>Intensity</v>
      </c>
      <c r="D42">
        <v>41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25">
      <c r="A43" t="str">
        <v>LED vorne links</v>
      </c>
      <c r="B43" t="str">
        <v>CameoPixBar650CPro_3Ch1</v>
      </c>
      <c r="C43" t="str">
        <v>Red</v>
      </c>
      <c r="D43">
        <v>43</v>
      </c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25">
      <c r="A44" t="str">
        <v>LED vorne links</v>
      </c>
      <c r="B44" t="str">
        <v>CameoPixBar650CPro_3Ch1</v>
      </c>
      <c r="C44" t="str">
        <v>Green</v>
      </c>
      <c r="D44">
        <v>44</v>
      </c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x14ac:dyDescent="0.25">
      <c r="A45" t="str">
        <v>LED vorne links</v>
      </c>
      <c r="B45" t="str">
        <v>CameoPixBar650CPro_3Ch1</v>
      </c>
      <c r="C45" t="str">
        <v>Blue</v>
      </c>
      <c r="D45">
        <v>45</v>
      </c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</row>
    <row r="46" spans="1:19" x14ac:dyDescent="0.25">
      <c r="A46" t="str">
        <v>LED vorne rechts</v>
      </c>
      <c r="B46" t="str">
        <v>CameoPixBar650CPro_3Ch1</v>
      </c>
      <c r="C46" t="str">
        <v>Red</v>
      </c>
      <c r="D46">
        <v>46</v>
      </c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25">
      <c r="A47" t="str">
        <v>LED vorne rechts</v>
      </c>
      <c r="B47" t="str">
        <v>CameoPixBar650CPro_3Ch1</v>
      </c>
      <c r="C47" t="str">
        <v>Green</v>
      </c>
      <c r="D47">
        <v>47</v>
      </c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25">
      <c r="A48" t="str">
        <v>LED vorne rechts</v>
      </c>
      <c r="B48" t="str">
        <v>CameoPixBar650CPro_3Ch1</v>
      </c>
      <c r="C48" t="str">
        <v>Blue</v>
      </c>
      <c r="D48">
        <v>48</v>
      </c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</row>
    <row r="49" spans="1:19" x14ac:dyDescent="0.25">
      <c r="A49" t="str">
        <v>LED hinten links</v>
      </c>
      <c r="B49" t="str">
        <v>CameoPixBar650CPro_3Ch1</v>
      </c>
      <c r="C49" t="str">
        <v>Red</v>
      </c>
      <c r="D49">
        <v>49</v>
      </c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25">
      <c r="A50" t="str">
        <v>LED hinten links</v>
      </c>
      <c r="B50" t="str">
        <v>CameoPixBar650CPro_3Ch1</v>
      </c>
      <c r="C50" t="str">
        <v>Green</v>
      </c>
      <c r="D50">
        <v>50</v>
      </c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</row>
    <row r="51" spans="1:19" x14ac:dyDescent="0.25">
      <c r="A51" t="str">
        <v>LED hinten links</v>
      </c>
      <c r="B51" t="str">
        <v>CameoPixBar650CPro_3Ch1</v>
      </c>
      <c r="C51" t="str">
        <v>Blue</v>
      </c>
      <c r="D51">
        <v>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</row>
    <row r="52" spans="1:19" x14ac:dyDescent="0.25">
      <c r="A52" t="str">
        <v>LED hinten rechts</v>
      </c>
      <c r="B52" t="str">
        <v>CameoPixBar650CPro_3Ch1</v>
      </c>
      <c r="C52" t="str">
        <v>Red</v>
      </c>
      <c r="D52">
        <v>52</v>
      </c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25">
      <c r="A53" t="str">
        <v>LED hinten rechts</v>
      </c>
      <c r="B53" t="str">
        <v>CameoPixBar650CPro_3Ch1</v>
      </c>
      <c r="C53" t="str">
        <v>Green</v>
      </c>
      <c r="D53">
        <v>53</v>
      </c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</row>
    <row r="54" spans="1:19" x14ac:dyDescent="0.25">
      <c r="A54" t="str">
        <v>LED hinten rechts</v>
      </c>
      <c r="B54" t="str">
        <v>CameoPixBar650CPro_3Ch1</v>
      </c>
      <c r="C54" t="str">
        <v>Blue</v>
      </c>
      <c r="D54">
        <v>54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</row>
  </sheetData>
  <phoneticPr fontId="10" type="noConversion"/>
  <conditionalFormatting sqref="C3">
    <cfRule type="containsText" dxfId="7" priority="5" operator="containsText" text="Intensity">
      <formula>NOT(ISERROR(SEARCH("Intensity",C3)))</formula>
    </cfRule>
    <cfRule type="containsText" dxfId="6" priority="6" operator="containsText" text="Blue">
      <formula>NOT(ISERROR(SEARCH("Blue",C3)))</formula>
    </cfRule>
    <cfRule type="containsText" dxfId="5" priority="7" operator="containsText" text="Green">
      <formula>NOT(ISERROR(SEARCH("Green",C3)))</formula>
    </cfRule>
    <cfRule type="containsText" dxfId="4" priority="8" operator="containsText" text="Red">
      <formula>NOT(ISERROR(SEARCH("Red",C3)))</formula>
    </cfRule>
  </conditionalFormatting>
  <conditionalFormatting sqref="C4:C54">
    <cfRule type="containsText" dxfId="3" priority="1" operator="containsText" text="Intensity">
      <formula>NOT(ISERROR(SEARCH("Intensity",C4)))</formula>
    </cfRule>
    <cfRule type="containsText" dxfId="2" priority="2" operator="containsText" text="Blue">
      <formula>NOT(ISERROR(SEARCH("Blue",C4)))</formula>
    </cfRule>
    <cfRule type="containsText" dxfId="1" priority="3" operator="containsText" text="Green">
      <formula>NOT(ISERROR(SEARCH("Green",C4)))</formula>
    </cfRule>
    <cfRule type="containsText" dxfId="0" priority="4" operator="containsText" text="Red">
      <formula>NOT(ISERROR(SEARCH("Red",C4)))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dimension ref="A1:I54"/>
  <sheetViews>
    <sheetView workbookViewId="0">
      <selection activeCell="A13" sqref="A13"/>
    </sheetView>
  </sheetViews>
  <sheetFormatPr defaultRowHeight="15" x14ac:dyDescent="0.25"/>
  <cols>
    <col min="1" max="1" width="29.710937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/>
      <c r="C4" t="str" cm="1">
        <f t="array" ref="C4:F54">_xll.AuLiComGetFixtureChannelInfos()</f>
        <v>Frontlicht 1 links</v>
      </c>
      <c r="D4" t="str">
        <v>CantataPc</v>
      </c>
      <c r="E4" t="str">
        <v>Intensity</v>
      </c>
      <c r="F4">
        <v>1</v>
      </c>
      <c r="G4" cm="1">
        <f t="array" aca="1" ref="G4:G54" ca="1">_xll.AuLiComGetChannelValues(OFFSET($F$4,0,0,_xll.AuLiComGetFixtureChannelCountTotal(),1))</f>
        <v>0</v>
      </c>
      <c r="H4" s="2">
        <v>0</v>
      </c>
      <c r="I4" s="3" cm="1">
        <f t="array" ref="I4">IF(ChannelManualMode,_xll.AuLiComSetChannelValue(F4,H4*ChannelMaster%),"")</f>
        <v>1</v>
      </c>
    </row>
    <row r="5" spans="1:9" x14ac:dyDescent="0.25">
      <c r="C5" t="str">
        <v>Cantata Profiler</v>
      </c>
      <c r="D5" t="str">
        <v>CantataProfiler</v>
      </c>
      <c r="E5" t="str">
        <v>Intensity</v>
      </c>
      <c r="F5">
        <v>2</v>
      </c>
      <c r="G5">
        <f ca="1"/>
        <v>0</v>
      </c>
      <c r="H5" s="2">
        <v>0</v>
      </c>
      <c r="I5" s="3" cm="1">
        <f t="array" ref="I5">IF(ChannelManualMode,_xll.AuLiComSetChannelValue(F5,H5*ChannelMaster%),"")</f>
        <v>2</v>
      </c>
    </row>
    <row r="6" spans="1:9" x14ac:dyDescent="0.25">
      <c r="A6" s="1" t="s">
        <v>17</v>
      </c>
      <c r="C6" t="str">
        <v>Frontlicht 1 rechts</v>
      </c>
      <c r="D6" t="str">
        <v>GenericLamp</v>
      </c>
      <c r="E6" t="str">
        <v>Intensity</v>
      </c>
      <c r="F6">
        <v>3</v>
      </c>
      <c r="G6">
        <f ca="1"/>
        <v>0</v>
      </c>
      <c r="H6" s="2">
        <v>0</v>
      </c>
      <c r="I6" s="3" cm="1">
        <f t="array" ref="I6">IF(ChannelManualMode,_xll.AuLiComSetChannelValue(F6,H6*ChannelMaster%),"")</f>
        <v>3</v>
      </c>
    </row>
    <row r="7" spans="1:9" x14ac:dyDescent="0.25">
      <c r="A7" s="6" t="str" cm="1">
        <f t="array" ref="A7">IF(A4="","no command",_xll.AuLiComExecuteCommand(DmxVersion,A4))</f>
        <v>no command</v>
      </c>
      <c r="C7" t="str">
        <v>Frontlicht Band 2</v>
      </c>
      <c r="D7" t="str">
        <v>Par64</v>
      </c>
      <c r="E7" t="str">
        <v>Intensity</v>
      </c>
      <c r="F7">
        <v>4</v>
      </c>
      <c r="G7">
        <f ca="1"/>
        <v>0</v>
      </c>
      <c r="H7" s="2">
        <v>0</v>
      </c>
      <c r="I7" s="3" cm="1">
        <f t="array" ref="I7">IF(ChannelManualMode,_xll.AuLiComSetChannelValue(F7,H7*ChannelMaster%),"")</f>
        <v>4</v>
      </c>
    </row>
    <row r="8" spans="1:9" x14ac:dyDescent="0.25">
      <c r="A8" s="6"/>
      <c r="C8" t="str">
        <v>Gegenlicht</v>
      </c>
      <c r="D8" t="str">
        <v>Par56Silver</v>
      </c>
      <c r="E8" t="str">
        <v>Intensity</v>
      </c>
      <c r="F8">
        <v>5</v>
      </c>
      <c r="G8">
        <f ca="1"/>
        <v>0</v>
      </c>
      <c r="H8" s="2">
        <v>0</v>
      </c>
      <c r="I8" s="3" cm="1">
        <f t="array" ref="I8">IF(ChannelManualMode,_xll.AuLiComSetChannelValue(F8,H8*ChannelMaster%),"")</f>
        <v>5</v>
      </c>
    </row>
    <row r="9" spans="1:9" x14ac:dyDescent="0.25">
      <c r="A9" s="6"/>
      <c r="C9" t="str">
        <v>Profiler links</v>
      </c>
      <c r="D9" t="str">
        <v>Profiler</v>
      </c>
      <c r="E9" t="str">
        <v>Intensity</v>
      </c>
      <c r="F9">
        <v>6</v>
      </c>
      <c r="G9">
        <f ca="1"/>
        <v>0</v>
      </c>
      <c r="H9" s="2">
        <v>0</v>
      </c>
      <c r="I9" s="3" cm="1">
        <f t="array" ref="I9">IF(ChannelManualMode,_xll.AuLiComSetChannelValue(F9,H9*ChannelMaster%),"")</f>
        <v>6</v>
      </c>
    </row>
    <row r="10" spans="1:9" x14ac:dyDescent="0.25">
      <c r="A10" s="6"/>
      <c r="C10" t="str">
        <v>Profiler rechts</v>
      </c>
      <c r="D10" t="str">
        <v>Profiler</v>
      </c>
      <c r="E10" t="str">
        <v>Intensity</v>
      </c>
      <c r="F10">
        <v>7</v>
      </c>
      <c r="G10">
        <f ca="1"/>
        <v>0</v>
      </c>
      <c r="H10" s="2">
        <v>0</v>
      </c>
      <c r="I10" s="3" cm="1">
        <f t="array" ref="I10">IF(ChannelManualMode,_xll.AuLiComSetChannelValue(F10,H10*ChannelMaster%),"")</f>
        <v>7</v>
      </c>
    </row>
    <row r="11" spans="1:9" x14ac:dyDescent="0.25">
      <c r="A11" s="6"/>
      <c r="C11" t="str">
        <v>Frontlicht 2 links</v>
      </c>
      <c r="D11" t="str">
        <v>ElationKl4Fresnel_1Ch</v>
      </c>
      <c r="E11" t="str">
        <v>Intensity</v>
      </c>
      <c r="F11">
        <v>8</v>
      </c>
      <c r="G11">
        <f ca="1"/>
        <v>0</v>
      </c>
      <c r="H11" s="2">
        <v>0</v>
      </c>
      <c r="I11" s="3" cm="1">
        <f t="array" ref="I11">IF(ChannelManualMode,_xll.AuLiComSetChannelValue(F11,H11*ChannelMaster%),"")</f>
        <v>8</v>
      </c>
    </row>
    <row r="12" spans="1:9" x14ac:dyDescent="0.25">
      <c r="A12" s="6"/>
      <c r="C12" t="str">
        <v>Frontlicht 2 links-mitte</v>
      </c>
      <c r="D12" t="str">
        <v>ElationKl4Fresnel_1Ch</v>
      </c>
      <c r="E12" t="str">
        <v>Intensity</v>
      </c>
      <c r="F12">
        <v>9</v>
      </c>
      <c r="G12">
        <f ca="1"/>
        <v>0</v>
      </c>
      <c r="H12" s="2">
        <v>0</v>
      </c>
      <c r="I12" s="3" cm="1">
        <f t="array" ref="I12">IF(ChannelManualMode,_xll.AuLiComSetChannelValue(F12,H12*ChannelMaster%),"")</f>
        <v>9</v>
      </c>
    </row>
    <row r="13" spans="1:9" x14ac:dyDescent="0.25">
      <c r="A13" s="6"/>
      <c r="C13" t="str">
        <v>Frontlicht 2 mitte</v>
      </c>
      <c r="D13" t="str">
        <v>ElationKl4Fresnel_1Ch</v>
      </c>
      <c r="E13" t="str">
        <v>Intensity</v>
      </c>
      <c r="F13">
        <v>10</v>
      </c>
      <c r="G13">
        <f ca="1"/>
        <v>0</v>
      </c>
      <c r="H13" s="2">
        <v>0</v>
      </c>
      <c r="I13" s="3" cm="1">
        <f t="array" ref="I13">IF(ChannelManualMode,_xll.AuLiComSetChannelValue(F13,H13*ChannelMaster%),"")</f>
        <v>10</v>
      </c>
    </row>
    <row r="14" spans="1:9" x14ac:dyDescent="0.25">
      <c r="A14" s="6"/>
      <c r="C14" t="str">
        <v>Frontlicht 2 rechts-mitte</v>
      </c>
      <c r="D14" t="str">
        <v>ElationKl4Fresnel_1Ch</v>
      </c>
      <c r="E14" t="str">
        <v>Intensity</v>
      </c>
      <c r="F14">
        <v>11</v>
      </c>
      <c r="G14">
        <f ca="1"/>
        <v>0</v>
      </c>
      <c r="H14" s="2">
        <v>0</v>
      </c>
      <c r="I14" s="3" cm="1">
        <f t="array" ref="I14">IF(ChannelManualMode,_xll.AuLiComSetChannelValue(F14,H14*ChannelMaster%),"")</f>
        <v>11</v>
      </c>
    </row>
    <row r="15" spans="1:9" x14ac:dyDescent="0.25">
      <c r="A15" s="6"/>
      <c r="C15" t="str">
        <v>Frontlicht 2 rechts</v>
      </c>
      <c r="D15" t="str">
        <v>ElationKl4Fresnel_1Ch</v>
      </c>
      <c r="E15" t="str">
        <v>Intensity</v>
      </c>
      <c r="F15">
        <v>12</v>
      </c>
      <c r="G15">
        <f ca="1"/>
        <v>0</v>
      </c>
      <c r="H15" s="2">
        <v>0</v>
      </c>
      <c r="I15" s="3" cm="1">
        <f t="array" ref="I15">IF(ChannelManualMode,_xll.AuLiComSetChannelValue(F15,H15*ChannelMaster%),"")</f>
        <v>12</v>
      </c>
    </row>
    <row r="16" spans="1:9" x14ac:dyDescent="0.25">
      <c r="A16" s="6"/>
      <c r="C16" t="str">
        <v>Seitenlicht 1 links</v>
      </c>
      <c r="D16" t="str">
        <v>CantataPc</v>
      </c>
      <c r="E16" t="str">
        <v>Intensity</v>
      </c>
      <c r="F16">
        <v>13</v>
      </c>
      <c r="G16">
        <f ca="1"/>
        <v>0</v>
      </c>
      <c r="H16" s="2">
        <v>0</v>
      </c>
      <c r="I16" s="3" cm="1">
        <f t="array" ref="I16">IF(ChannelManualMode,_xll.AuLiComSetChannelValue(F16,H16*ChannelMaster%),"")</f>
        <v>13</v>
      </c>
    </row>
    <row r="17" spans="1:9" x14ac:dyDescent="0.25">
      <c r="A17" s="6"/>
      <c r="C17" t="str">
        <v>Gegenlicht Traverse links</v>
      </c>
      <c r="D17" t="str">
        <v>Par64</v>
      </c>
      <c r="E17" t="str">
        <v>Intensity</v>
      </c>
      <c r="F17">
        <v>14</v>
      </c>
      <c r="G17">
        <f ca="1"/>
        <v>0</v>
      </c>
      <c r="H17" s="2">
        <v>0</v>
      </c>
      <c r="I17" s="3" cm="1">
        <f t="array" ref="I17">IF(ChannelManualMode,_xll.AuLiComSetChannelValue(F17,H17*ChannelMaster%),"")</f>
        <v>14</v>
      </c>
    </row>
    <row r="18" spans="1:9" x14ac:dyDescent="0.25">
      <c r="A18" s="6"/>
      <c r="C18" t="str">
        <v>Seitenlicht 2 links</v>
      </c>
      <c r="D18" t="str">
        <v>CantataPc</v>
      </c>
      <c r="E18" t="str">
        <v>Intensity</v>
      </c>
      <c r="F18">
        <v>15</v>
      </c>
      <c r="G18">
        <f ca="1"/>
        <v>0</v>
      </c>
      <c r="H18" s="2">
        <v>0</v>
      </c>
      <c r="I18" s="3" cm="1">
        <f t="array" ref="I18">IF(ChannelManualMode,_xll.AuLiComSetChannelValue(F18,H18*ChannelMaster%),"")</f>
        <v>15</v>
      </c>
    </row>
    <row r="19" spans="1:9" x14ac:dyDescent="0.25">
      <c r="A19" s="6"/>
      <c r="C19" t="str">
        <v>Spot Rohr links</v>
      </c>
      <c r="D19" t="str">
        <v>Par64</v>
      </c>
      <c r="E19" t="str">
        <v>Intensity</v>
      </c>
      <c r="F19">
        <v>16</v>
      </c>
      <c r="G19">
        <f ca="1"/>
        <v>0</v>
      </c>
      <c r="H19" s="2">
        <v>0</v>
      </c>
      <c r="I19" s="3" cm="1">
        <f t="array" ref="I19">IF(ChannelManualMode,_xll.AuLiComSetChannelValue(F19,H19*ChannelMaster%),"")</f>
        <v>16</v>
      </c>
    </row>
    <row r="20" spans="1:9" x14ac:dyDescent="0.25">
      <c r="A20" s="6"/>
      <c r="C20" t="str">
        <v>Frontlicht 3 links</v>
      </c>
      <c r="D20" t="str">
        <v>AriaPc</v>
      </c>
      <c r="E20" t="str">
        <v>Intensity</v>
      </c>
      <c r="F20">
        <v>17</v>
      </c>
      <c r="G20">
        <f ca="1"/>
        <v>0</v>
      </c>
      <c r="H20" s="2">
        <v>0</v>
      </c>
      <c r="I20" s="3" cm="1">
        <f t="array" ref="I20">IF(ChannelManualMode,_xll.AuLiComSetChannelValue(F20,H20*ChannelMaster%),"")</f>
        <v>17</v>
      </c>
    </row>
    <row r="21" spans="1:9" x14ac:dyDescent="0.25">
      <c r="A21" s="6"/>
      <c r="C21" t="str">
        <v>Gegenlicht vorne 2x</v>
      </c>
      <c r="D21" t="str">
        <v>AriaPc</v>
      </c>
      <c r="E21" t="str">
        <v>Intensity</v>
      </c>
      <c r="F21">
        <v>18</v>
      </c>
      <c r="G21">
        <f ca="1"/>
        <v>0</v>
      </c>
      <c r="H21" s="2">
        <v>0</v>
      </c>
      <c r="I21" s="3" cm="1">
        <f t="array" ref="I21">IF(ChannelManualMode,_xll.AuLiComSetChannelValue(F21,H21*ChannelMaster%),"")</f>
        <v>18</v>
      </c>
    </row>
    <row r="22" spans="1:9" x14ac:dyDescent="0.25">
      <c r="A22" s="6"/>
      <c r="C22" t="str">
        <v>Frontlicht 3 mitte</v>
      </c>
      <c r="D22" t="str">
        <v>AriaPc</v>
      </c>
      <c r="E22" t="str">
        <v>Intensity</v>
      </c>
      <c r="F22">
        <v>19</v>
      </c>
      <c r="G22">
        <f ca="1"/>
        <v>0</v>
      </c>
      <c r="H22" s="2">
        <v>0</v>
      </c>
      <c r="I22" s="3" cm="1">
        <f t="array" ref="I22">IF(ChannelManualMode,_xll.AuLiComSetChannelValue(F22,H22*ChannelMaster%),"")</f>
        <v>19</v>
      </c>
    </row>
    <row r="23" spans="1:9" x14ac:dyDescent="0.25">
      <c r="A23" s="6"/>
      <c r="C23" t="str">
        <v>Spot Rohr rechts</v>
      </c>
      <c r="D23" t="str">
        <v>Par64</v>
      </c>
      <c r="E23" t="str">
        <v>Intensity</v>
      </c>
      <c r="F23">
        <v>20</v>
      </c>
      <c r="G23">
        <f ca="1"/>
        <v>0</v>
      </c>
      <c r="H23" s="2">
        <v>0</v>
      </c>
      <c r="I23" s="3" cm="1">
        <f t="array" ref="I23">IF(ChannelManualMode,_xll.AuLiComSetChannelValue(F23,H23*ChannelMaster%),"")</f>
        <v>20</v>
      </c>
    </row>
    <row r="24" spans="1:9" x14ac:dyDescent="0.25">
      <c r="A24" s="6"/>
      <c r="C24" t="str">
        <v>Frontlicht 3 rechts</v>
      </c>
      <c r="D24" t="str">
        <v>AriaPc</v>
      </c>
      <c r="E24" t="str">
        <v>Intensity</v>
      </c>
      <c r="F24">
        <v>21</v>
      </c>
      <c r="G24">
        <f ca="1"/>
        <v>0</v>
      </c>
      <c r="H24" s="2">
        <v>0</v>
      </c>
      <c r="I24" s="3" cm="1">
        <f t="array" ref="I24">IF(ChannelManualMode,_xll.AuLiComSetChannelValue(F24,H24*ChannelMaster%),"")</f>
        <v>21</v>
      </c>
    </row>
    <row r="25" spans="1:9" x14ac:dyDescent="0.25">
      <c r="A25" s="6"/>
      <c r="C25" t="str">
        <v>Seitenlicht 2 rechts</v>
      </c>
      <c r="D25" t="str">
        <v>CantataPc</v>
      </c>
      <c r="E25" t="str">
        <v>Intensity</v>
      </c>
      <c r="F25">
        <v>22</v>
      </c>
      <c r="G25">
        <f ca="1"/>
        <v>0</v>
      </c>
      <c r="H25" s="2">
        <v>0</v>
      </c>
      <c r="I25" s="3" cm="1">
        <f t="array" ref="I25">IF(ChannelManualMode,_xll.AuLiComSetChannelValue(F25,H25*ChannelMaster%),"")</f>
        <v>22</v>
      </c>
    </row>
    <row r="26" spans="1:9" x14ac:dyDescent="0.25">
      <c r="A26" s="6"/>
      <c r="C26" t="str">
        <v>Gegenlicht Traverse rechts</v>
      </c>
      <c r="D26" t="str">
        <v>Par64</v>
      </c>
      <c r="E26" t="str">
        <v>Intensity</v>
      </c>
      <c r="F26">
        <v>23</v>
      </c>
      <c r="G26">
        <f ca="1"/>
        <v>0</v>
      </c>
      <c r="H26" s="2">
        <v>0</v>
      </c>
      <c r="I26" s="3" cm="1">
        <f t="array" ref="I26">IF(ChannelManualMode,_xll.AuLiComSetChannelValue(F26,H26*ChannelMaster%),"")</f>
        <v>23</v>
      </c>
    </row>
    <row r="27" spans="1:9" x14ac:dyDescent="0.25">
      <c r="A27" s="6"/>
      <c r="C27" t="str">
        <v>Seitenlicht 1 rechts</v>
      </c>
      <c r="D27" t="str">
        <v>CantataPc</v>
      </c>
      <c r="E27" t="str">
        <v>Intensity</v>
      </c>
      <c r="F27">
        <v>24</v>
      </c>
      <c r="G27">
        <f ca="1"/>
        <v>0</v>
      </c>
      <c r="H27" s="2">
        <v>0</v>
      </c>
      <c r="I27" s="3" cm="1">
        <f t="array" ref="I27">IF(ChannelManualMode,_xll.AuLiComSetChannelValue(F27,H27*ChannelMaster%),"")</f>
        <v>24</v>
      </c>
    </row>
    <row r="28" spans="1:9" x14ac:dyDescent="0.25">
      <c r="A28" s="6"/>
      <c r="C28" t="str">
        <v>LED Fluter</v>
      </c>
      <c r="D28" t="str">
        <v>CameoThunderWash600Rgbw_7Ch2</v>
      </c>
      <c r="E28" t="str">
        <v>Intensity</v>
      </c>
      <c r="F28">
        <v>25</v>
      </c>
      <c r="G28">
        <f ca="1"/>
        <v>0</v>
      </c>
      <c r="H28" s="2">
        <v>0</v>
      </c>
      <c r="I28" s="3" cm="1">
        <f t="array" ref="I28">IF(ChannelManualMode,_xll.AuLiComSetChannelValue(F28,H28*ChannelMaster%),"")</f>
        <v>25</v>
      </c>
    </row>
    <row r="29" spans="1:9" x14ac:dyDescent="0.25">
      <c r="A29" s="6"/>
      <c r="C29" t="str">
        <v>LED Fluter</v>
      </c>
      <c r="D29" t="str">
        <v>CameoThunderWash600Rgbw_7Ch2</v>
      </c>
      <c r="E29" t="str">
        <v>StrobeSpeed</v>
      </c>
      <c r="F29">
        <v>26</v>
      </c>
      <c r="G29">
        <f ca="1"/>
        <v>0</v>
      </c>
      <c r="H29" s="2">
        <v>0</v>
      </c>
      <c r="I29" s="3" cm="1">
        <f t="array" ref="I29">IF(ChannelManualMode,_xll.AuLiComSetChannelValue(F29,H29*ChannelMaster%),"")</f>
        <v>26</v>
      </c>
    </row>
    <row r="30" spans="1:9" x14ac:dyDescent="0.25">
      <c r="A30" s="6"/>
      <c r="C30" t="str">
        <v>LED Fluter</v>
      </c>
      <c r="D30" t="str">
        <v>CameoThunderWash600Rgbw_7Ch2</v>
      </c>
      <c r="E30" t="str">
        <v>FlashDuration</v>
      </c>
      <c r="F30">
        <v>27</v>
      </c>
      <c r="G30">
        <f ca="1"/>
        <v>0</v>
      </c>
      <c r="H30" s="2">
        <v>0</v>
      </c>
      <c r="I30" s="3" cm="1">
        <f t="array" ref="I30">IF(ChannelManualMode,_xll.AuLiComSetChannelValue(F30,H30*ChannelMaster%),"")</f>
        <v>27</v>
      </c>
    </row>
    <row r="31" spans="1:9" x14ac:dyDescent="0.25">
      <c r="A31" s="6"/>
      <c r="C31" t="str">
        <v>LED Fluter</v>
      </c>
      <c r="D31" t="str">
        <v>CameoThunderWash600Rgbw_7Ch2</v>
      </c>
      <c r="E31" t="str">
        <v>Red</v>
      </c>
      <c r="F31">
        <v>28</v>
      </c>
      <c r="G31">
        <f ca="1"/>
        <v>0</v>
      </c>
      <c r="H31" s="2">
        <v>0</v>
      </c>
      <c r="I31" s="3" cm="1">
        <f t="array" ref="I31">IF(ChannelManualMode,_xll.AuLiComSetChannelValue(F31,H31*ChannelMaster%),"")</f>
        <v>28</v>
      </c>
    </row>
    <row r="32" spans="1:9" x14ac:dyDescent="0.25">
      <c r="A32" s="6"/>
      <c r="C32" t="str">
        <v>LED Fluter</v>
      </c>
      <c r="D32" t="str">
        <v>CameoThunderWash600Rgbw_7Ch2</v>
      </c>
      <c r="E32" t="str">
        <v>Green</v>
      </c>
      <c r="F32">
        <v>29</v>
      </c>
      <c r="G32">
        <f ca="1"/>
        <v>0</v>
      </c>
      <c r="H32" s="2">
        <v>0</v>
      </c>
      <c r="I32" s="3" cm="1">
        <f t="array" ref="I32">IF(ChannelManualMode,_xll.AuLiComSetChannelValue(F32,H32*ChannelMaster%),"")</f>
        <v>29</v>
      </c>
    </row>
    <row r="33" spans="1:9" x14ac:dyDescent="0.25">
      <c r="A33" s="6"/>
      <c r="C33" t="str">
        <v>LED Fluter</v>
      </c>
      <c r="D33" t="str">
        <v>CameoThunderWash600Rgbw_7Ch2</v>
      </c>
      <c r="E33" t="str">
        <v>Blue</v>
      </c>
      <c r="F33">
        <v>30</v>
      </c>
      <c r="G33">
        <f ca="1"/>
        <v>0</v>
      </c>
      <c r="H33" s="2">
        <v>0</v>
      </c>
      <c r="I33" s="3" cm="1">
        <f t="array" ref="I33">IF(ChannelManualMode,_xll.AuLiComSetChannelValue(F33,H33*ChannelMaster%),"")</f>
        <v>30</v>
      </c>
    </row>
    <row r="34" spans="1:9" x14ac:dyDescent="0.25">
      <c r="A34" s="6"/>
      <c r="C34" t="str">
        <v>LED Fluter</v>
      </c>
      <c r="D34" t="str">
        <v>CameoThunderWash600Rgbw_7Ch2</v>
      </c>
      <c r="E34" t="str">
        <v>White</v>
      </c>
      <c r="F34">
        <v>31</v>
      </c>
      <c r="G34">
        <f ca="1"/>
        <v>0</v>
      </c>
      <c r="H34" s="2">
        <v>0</v>
      </c>
      <c r="I34" s="3" cm="1">
        <f t="array" ref="I34">IF(ChannelManualMode,_xll.AuLiComSetChannelValue(F34,H34*ChannelMaster%),"")</f>
        <v>31</v>
      </c>
    </row>
    <row r="35" spans="1:9" x14ac:dyDescent="0.25">
      <c r="A35" s="6"/>
      <c r="C35" t="str">
        <v>Aulalicht</v>
      </c>
      <c r="D35" t="str">
        <v>Quartz</v>
      </c>
      <c r="E35" t="str">
        <v>Intensity</v>
      </c>
      <c r="F35">
        <v>32</v>
      </c>
      <c r="G35">
        <f ca="1"/>
        <v>0</v>
      </c>
      <c r="H35" s="2">
        <v>0</v>
      </c>
      <c r="I35" s="3" cm="1">
        <f t="array" ref="I35">IF(ChannelManualMode,_xll.AuLiComSetChannelValue(F35,H35*ChannelMaster%),"")</f>
        <v>32</v>
      </c>
    </row>
    <row r="36" spans="1:9" x14ac:dyDescent="0.25">
      <c r="A36" s="6"/>
      <c r="C36" t="str">
        <v>Seitenlicht 3 links</v>
      </c>
      <c r="D36" t="str">
        <v>CantataPc</v>
      </c>
      <c r="E36" t="str">
        <v>Intensity</v>
      </c>
      <c r="F36">
        <v>34</v>
      </c>
      <c r="G36">
        <f ca="1"/>
        <v>0</v>
      </c>
      <c r="H36" s="2">
        <v>0</v>
      </c>
      <c r="I36" s="3" cm="1">
        <f t="array" ref="I36">IF(ChannelManualMode,_xll.AuLiComSetChannelValue(F36,H36*ChannelMaster%),"")</f>
        <v>34</v>
      </c>
    </row>
    <row r="37" spans="1:9" x14ac:dyDescent="0.25">
      <c r="A37" s="6"/>
      <c r="C37" t="str">
        <v>Seitenlicht 3 rechts</v>
      </c>
      <c r="D37" t="str">
        <v>CantataPc</v>
      </c>
      <c r="E37" t="str">
        <v>Intensity</v>
      </c>
      <c r="F37">
        <v>35</v>
      </c>
      <c r="G37">
        <f ca="1"/>
        <v>0</v>
      </c>
      <c r="H37" s="2">
        <v>0</v>
      </c>
      <c r="I37" s="3" cm="1">
        <f t="array" ref="I37">IF(ChannelManualMode,_xll.AuLiComSetChannelValue(F37,H37*ChannelMaster%),"")</f>
        <v>35</v>
      </c>
    </row>
    <row r="38" spans="1:9" x14ac:dyDescent="0.25">
      <c r="A38" s="6"/>
      <c r="C38" t="str">
        <v>Seitenlicht 4 links</v>
      </c>
      <c r="D38" t="str">
        <v>CantataPc</v>
      </c>
      <c r="E38" t="str">
        <v>Intensity</v>
      </c>
      <c r="F38">
        <v>36</v>
      </c>
      <c r="G38">
        <f ca="1"/>
        <v>0</v>
      </c>
      <c r="H38" s="2">
        <v>0</v>
      </c>
      <c r="I38" s="3" cm="1">
        <f t="array" ref="I38">IF(ChannelManualMode,_xll.AuLiComSetChannelValue(F38,H38*ChannelMaster%),"")</f>
        <v>36</v>
      </c>
    </row>
    <row r="39" spans="1:9" x14ac:dyDescent="0.25">
      <c r="A39" s="6"/>
      <c r="C39" t="str">
        <v>Seitenlicht 4 rechts</v>
      </c>
      <c r="D39" t="str">
        <v>CantataPc</v>
      </c>
      <c r="E39" t="str">
        <v>Intensity</v>
      </c>
      <c r="F39">
        <v>37</v>
      </c>
      <c r="G39">
        <f ca="1"/>
        <v>0</v>
      </c>
      <c r="H39" s="2">
        <v>0</v>
      </c>
      <c r="I39" s="3" cm="1">
        <f t="array" ref="I39">IF(ChannelManualMode,_xll.AuLiComSetChannelValue(F39,H39*ChannelMaster%),"")</f>
        <v>37</v>
      </c>
    </row>
    <row r="40" spans="1:9" x14ac:dyDescent="0.25">
      <c r="A40" s="6"/>
      <c r="C40" t="str">
        <v>Seitenlicht 5 links</v>
      </c>
      <c r="D40" t="str">
        <v>CantataPc</v>
      </c>
      <c r="E40" t="str">
        <v>Intensity</v>
      </c>
      <c r="F40">
        <v>38</v>
      </c>
      <c r="G40">
        <f ca="1"/>
        <v>0</v>
      </c>
      <c r="H40" s="2">
        <v>0</v>
      </c>
      <c r="I40" s="3" cm="1">
        <f t="array" ref="I40">IF(ChannelManualMode,_xll.AuLiComSetChannelValue(F40,H40*ChannelMaster%),"")</f>
        <v>38</v>
      </c>
    </row>
    <row r="41" spans="1:9" x14ac:dyDescent="0.25">
      <c r="A41" s="6"/>
      <c r="C41" t="str">
        <v>Seitenlicht 5 rechts</v>
      </c>
      <c r="D41" t="str">
        <v>CantataPc</v>
      </c>
      <c r="E41" t="str">
        <v>Intensity</v>
      </c>
      <c r="F41">
        <v>39</v>
      </c>
      <c r="G41">
        <f ca="1"/>
        <v>0</v>
      </c>
      <c r="H41" s="2">
        <v>0</v>
      </c>
      <c r="I41" s="3" cm="1">
        <f t="array" ref="I41">IF(ChannelManualMode,_xll.AuLiComSetChannelValue(F41,H41*ChannelMaster%),"")</f>
        <v>39</v>
      </c>
    </row>
    <row r="42" spans="1:9" x14ac:dyDescent="0.25">
      <c r="A42" s="6"/>
      <c r="C42" t="str">
        <v>Special über der Bühne</v>
      </c>
      <c r="D42" t="str">
        <v>Par64</v>
      </c>
      <c r="E42" t="str">
        <v>Intensity</v>
      </c>
      <c r="F42">
        <v>41</v>
      </c>
      <c r="G42">
        <f ca="1"/>
        <v>0</v>
      </c>
      <c r="H42" s="2">
        <v>0</v>
      </c>
      <c r="I42" s="3" cm="1">
        <f t="array" ref="I42">IF(ChannelManualMode,_xll.AuLiComSetChannelValue(F42,H42*ChannelMaster%),"")</f>
        <v>41</v>
      </c>
    </row>
    <row r="43" spans="1:9" x14ac:dyDescent="0.25">
      <c r="A43" s="6"/>
      <c r="C43" t="str">
        <v>LED vorne links</v>
      </c>
      <c r="D43" t="str">
        <v>CameoPixBar650CPro_3Ch1</v>
      </c>
      <c r="E43" t="str">
        <v>Red</v>
      </c>
      <c r="F43">
        <v>43</v>
      </c>
      <c r="G43">
        <f ca="1"/>
        <v>0</v>
      </c>
      <c r="H43" s="2">
        <v>0</v>
      </c>
      <c r="I43" s="3" cm="1">
        <f t="array" ref="I43">IF(ChannelManualMode,_xll.AuLiComSetChannelValue(F43,H43*ChannelMaster%),"")</f>
        <v>43</v>
      </c>
    </row>
    <row r="44" spans="1:9" x14ac:dyDescent="0.25">
      <c r="A44" s="6"/>
      <c r="C44" t="str">
        <v>LED vorne links</v>
      </c>
      <c r="D44" t="str">
        <v>CameoPixBar650CPro_3Ch1</v>
      </c>
      <c r="E44" t="str">
        <v>Green</v>
      </c>
      <c r="F44">
        <v>44</v>
      </c>
      <c r="G44">
        <f ca="1"/>
        <v>0</v>
      </c>
      <c r="H44" s="2">
        <v>0</v>
      </c>
      <c r="I44" s="3" cm="1">
        <f t="array" ref="I44">IF(ChannelManualMode,_xll.AuLiComSetChannelValue(F44,H44*ChannelMaster%),"")</f>
        <v>44</v>
      </c>
    </row>
    <row r="45" spans="1:9" x14ac:dyDescent="0.25">
      <c r="A45" s="6"/>
      <c r="C45" t="str">
        <v>LED vorne links</v>
      </c>
      <c r="D45" t="str">
        <v>CameoPixBar650CPro_3Ch1</v>
      </c>
      <c r="E45" t="str">
        <v>Blue</v>
      </c>
      <c r="F45">
        <v>45</v>
      </c>
      <c r="G45">
        <f ca="1"/>
        <v>0</v>
      </c>
      <c r="H45" s="2">
        <v>0</v>
      </c>
      <c r="I45" s="3" cm="1">
        <f t="array" ref="I45">IF(ChannelManualMode,_xll.AuLiComSetChannelValue(F45,H45*ChannelMaster%),"")</f>
        <v>45</v>
      </c>
    </row>
    <row r="46" spans="1:9" x14ac:dyDescent="0.25">
      <c r="A46" s="6"/>
      <c r="C46" t="str">
        <v>LED vorne rechts</v>
      </c>
      <c r="D46" t="str">
        <v>CameoPixBar650CPro_3Ch1</v>
      </c>
      <c r="E46" t="str">
        <v>Red</v>
      </c>
      <c r="F46">
        <v>46</v>
      </c>
      <c r="G46">
        <f ca="1"/>
        <v>0</v>
      </c>
      <c r="H46" s="2">
        <v>0</v>
      </c>
      <c r="I46" s="3" cm="1">
        <f t="array" ref="I46">IF(ChannelManualMode,_xll.AuLiComSetChannelValue(F46,H46*ChannelMaster%),"")</f>
        <v>46</v>
      </c>
    </row>
    <row r="47" spans="1:9" x14ac:dyDescent="0.25">
      <c r="A47" s="6"/>
      <c r="C47" t="str">
        <v>LED vorne rechts</v>
      </c>
      <c r="D47" t="str">
        <v>CameoPixBar650CPro_3Ch1</v>
      </c>
      <c r="E47" t="str">
        <v>Green</v>
      </c>
      <c r="F47">
        <v>47</v>
      </c>
      <c r="G47">
        <f ca="1"/>
        <v>0</v>
      </c>
      <c r="H47" s="2">
        <v>0</v>
      </c>
      <c r="I47" s="3" cm="1">
        <f t="array" ref="I47">IF(ChannelManualMode,_xll.AuLiComSetChannelValue(F47,H47*ChannelMaster%),"")</f>
        <v>47</v>
      </c>
    </row>
    <row r="48" spans="1:9" x14ac:dyDescent="0.25">
      <c r="A48" s="6"/>
      <c r="C48" t="str">
        <v>LED vorne rechts</v>
      </c>
      <c r="D48" t="str">
        <v>CameoPixBar650CPro_3Ch1</v>
      </c>
      <c r="E48" t="str">
        <v>Blue</v>
      </c>
      <c r="F48">
        <v>48</v>
      </c>
      <c r="G48">
        <f ca="1"/>
        <v>0</v>
      </c>
      <c r="H48" s="2">
        <v>0</v>
      </c>
      <c r="I48" s="3" cm="1">
        <f t="array" ref="I48">IF(ChannelManualMode,_xll.AuLiComSetChannelValue(F48,H48*ChannelMaster%),"")</f>
        <v>48</v>
      </c>
    </row>
    <row r="49" spans="1:9" x14ac:dyDescent="0.25">
      <c r="A49" s="6"/>
      <c r="C49" t="str">
        <v>LED hinten links</v>
      </c>
      <c r="D49" t="str">
        <v>CameoPixBar650CPro_3Ch1</v>
      </c>
      <c r="E49" t="str">
        <v>Red</v>
      </c>
      <c r="F49">
        <v>49</v>
      </c>
      <c r="G49">
        <f ca="1"/>
        <v>0</v>
      </c>
      <c r="H49" s="2">
        <v>0</v>
      </c>
      <c r="I49" s="3" cm="1">
        <f t="array" ref="I49">IF(ChannelManualMode,_xll.AuLiComSetChannelValue(F49,H49*ChannelMaster%),"")</f>
        <v>49</v>
      </c>
    </row>
    <row r="50" spans="1:9" x14ac:dyDescent="0.25">
      <c r="A50" s="6"/>
      <c r="C50" t="str">
        <v>LED hinten links</v>
      </c>
      <c r="D50" t="str">
        <v>CameoPixBar650CPro_3Ch1</v>
      </c>
      <c r="E50" t="str">
        <v>Green</v>
      </c>
      <c r="F50">
        <v>50</v>
      </c>
      <c r="G50">
        <f ca="1"/>
        <v>0</v>
      </c>
      <c r="H50" s="2">
        <v>0</v>
      </c>
      <c r="I50" s="3" cm="1">
        <f t="array" ref="I50">IF(ChannelManualMode,_xll.AuLiComSetChannelValue(F50,H50*ChannelMaster%),"")</f>
        <v>50</v>
      </c>
    </row>
    <row r="51" spans="1:9" x14ac:dyDescent="0.25">
      <c r="A51" s="6"/>
      <c r="C51" t="str">
        <v>LED hinten links</v>
      </c>
      <c r="D51" t="str">
        <v>CameoPixBar650CPro_3Ch1</v>
      </c>
      <c r="E51" t="str">
        <v>Blue</v>
      </c>
      <c r="F51">
        <v>51</v>
      </c>
      <c r="G51">
        <f ca="1"/>
        <v>0</v>
      </c>
      <c r="H51" s="2">
        <v>0</v>
      </c>
      <c r="I51" s="3" cm="1">
        <f t="array" ref="I51">IF(ChannelManualMode,_xll.AuLiComSetChannelValue(F51,H51*ChannelMaster%),"")</f>
        <v>51</v>
      </c>
    </row>
    <row r="52" spans="1:9" x14ac:dyDescent="0.25">
      <c r="A52" s="6"/>
      <c r="C52" t="str">
        <v>LED hinten rechts</v>
      </c>
      <c r="D52" t="str">
        <v>CameoPixBar650CPro_3Ch1</v>
      </c>
      <c r="E52" t="str">
        <v>Red</v>
      </c>
      <c r="F52">
        <v>52</v>
      </c>
      <c r="G52">
        <f ca="1"/>
        <v>0</v>
      </c>
      <c r="H52" s="2">
        <v>0</v>
      </c>
      <c r="I52" s="3" cm="1">
        <f t="array" ref="I52">IF(ChannelManualMode,_xll.AuLiComSetChannelValue(F52,H52*ChannelMaster%),"")</f>
        <v>52</v>
      </c>
    </row>
    <row r="53" spans="1:9" x14ac:dyDescent="0.25">
      <c r="A53" s="6"/>
      <c r="C53" t="str">
        <v>LED hinten rechts</v>
      </c>
      <c r="D53" t="str">
        <v>CameoPixBar650CPro_3Ch1</v>
      </c>
      <c r="E53" t="str">
        <v>Green</v>
      </c>
      <c r="F53">
        <v>53</v>
      </c>
      <c r="G53">
        <f ca="1"/>
        <v>0</v>
      </c>
      <c r="H53" s="2">
        <v>0</v>
      </c>
      <c r="I53" s="3" cm="1">
        <f t="array" ref="I53">IF(ChannelManualMode,_xll.AuLiComSetChannelValue(F53,H53*ChannelMaster%),"")</f>
        <v>53</v>
      </c>
    </row>
    <row r="54" spans="1:9" x14ac:dyDescent="0.25">
      <c r="C54" t="str">
        <v>LED hinten rechts</v>
      </c>
      <c r="D54" t="str">
        <v>CameoPixBar650CPro_3Ch1</v>
      </c>
      <c r="E54" t="str">
        <v>Blue</v>
      </c>
      <c r="F54">
        <v>54</v>
      </c>
      <c r="G54">
        <f ca="1"/>
        <v>0</v>
      </c>
      <c r="H54" s="2">
        <v>0</v>
      </c>
      <c r="I54" s="3" cm="1">
        <f t="array" ref="I54">IF(ChannelManualMode,_xll.AuLiComSetChannelValue(F54,H54*ChannelMaster%),"")</f>
        <v>54</v>
      </c>
    </row>
  </sheetData>
  <conditionalFormatting sqref="E1:E1048576">
    <cfRule type="containsText" dxfId="11" priority="1" operator="containsText" text="Intensity">
      <formula>NOT(ISERROR(SEARCH("Intensity",E1)))</formula>
    </cfRule>
    <cfRule type="containsText" dxfId="10" priority="2" operator="containsText" text="Blue">
      <formula>NOT(ISERROR(SEARCH("Blue",E1)))</formula>
    </cfRule>
    <cfRule type="containsText" dxfId="9" priority="3" operator="containsText" text="Green">
      <formula>NOT(ISERROR(SEARCH("Green",E1)))</formula>
    </cfRule>
    <cfRule type="containsText" dxfId="8" priority="4" operator="containsText" text="Red">
      <formula>NOT(ISERROR(SEARCH("Red",E1)))</formula>
    </cfRule>
  </conditionalFormatting>
  <dataValidations count="1">
    <dataValidation type="whole" allowBlank="1" showInputMessage="1" showErrorMessage="1" sqref="H4:H54" xr:uid="{852C5ADF-B2F9-434A-B063-004409CD4BDA}">
      <formula1>0</formula1>
      <formula2>100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3"/>
  <sheetViews>
    <sheetView workbookViewId="0">
      <selection activeCell="B8" sqref="B8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2" x14ac:dyDescent="0.25">
      <c r="A1" s="8" t="s">
        <v>18</v>
      </c>
      <c r="B1" s="8"/>
    </row>
    <row r="2" spans="1:2" x14ac:dyDescent="0.25">
      <c r="A2" s="9" t="str" cm="1">
        <f t="array" ref="A2:A13">_xll.AuLiComGetScenes()</f>
        <v>Blue4</v>
      </c>
      <c r="B2" s="9">
        <v>1</v>
      </c>
    </row>
    <row r="3" spans="1:2" x14ac:dyDescent="0.25">
      <c r="A3" s="9" t="str">
        <v>Red3</v>
      </c>
      <c r="B3" s="9">
        <v>1</v>
      </c>
    </row>
    <row r="4" spans="1:2" x14ac:dyDescent="0.25">
      <c r="A4" s="9" t="str">
        <v>Green4</v>
      </c>
      <c r="B4" s="9">
        <v>1</v>
      </c>
    </row>
    <row r="5" spans="1:2" x14ac:dyDescent="0.25">
      <c r="A5" s="9" t="str">
        <v>Blue1</v>
      </c>
      <c r="B5" s="9">
        <v>1</v>
      </c>
    </row>
    <row r="6" spans="1:2" x14ac:dyDescent="0.25">
      <c r="A6" s="9" t="str">
        <v>Blue3</v>
      </c>
      <c r="B6" s="9">
        <v>1</v>
      </c>
    </row>
    <row r="7" spans="1:2" x14ac:dyDescent="0.25">
      <c r="A7" s="9" t="str">
        <v>Red2</v>
      </c>
      <c r="B7" s="9">
        <v>1</v>
      </c>
    </row>
    <row r="8" spans="1:2" x14ac:dyDescent="0.25">
      <c r="A8" s="9" t="str">
        <v>Blue2</v>
      </c>
      <c r="B8" s="9">
        <v>1</v>
      </c>
    </row>
    <row r="9" spans="1:2" x14ac:dyDescent="0.25">
      <c r="A9" s="9" t="str">
        <v>Red4</v>
      </c>
      <c r="B9" s="9">
        <v>1</v>
      </c>
    </row>
    <row r="10" spans="1:2" x14ac:dyDescent="0.25">
      <c r="A10" s="9" t="str">
        <v>Green2</v>
      </c>
      <c r="B10" s="9">
        <v>1</v>
      </c>
    </row>
    <row r="11" spans="1:2" x14ac:dyDescent="0.25">
      <c r="A11" s="9" t="str">
        <v>Green1</v>
      </c>
      <c r="B11" s="9">
        <v>1</v>
      </c>
    </row>
    <row r="12" spans="1:2" x14ac:dyDescent="0.25">
      <c r="A12" s="9" t="str">
        <v>Green3</v>
      </c>
      <c r="B12" s="9">
        <v>1</v>
      </c>
    </row>
    <row r="13" spans="1:2" x14ac:dyDescent="0.25">
      <c r="A13" s="9" t="str">
        <v>Red1</v>
      </c>
      <c r="B13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C4" sqref="C4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21</v>
      </c>
    </row>
    <row r="3" spans="1:28" x14ac:dyDescent="0.25">
      <c r="A3" s="1" t="s">
        <v>2</v>
      </c>
      <c r="B3" s="1" t="s">
        <v>24</v>
      </c>
      <c r="C3" s="1" t="s">
        <v>22</v>
      </c>
      <c r="D3" s="1" t="s">
        <v>23</v>
      </c>
    </row>
    <row r="4" spans="1:28" x14ac:dyDescent="0.25">
      <c r="A4" s="2" t="s">
        <v>26</v>
      </c>
      <c r="B4" s="2" t="s">
        <v>37</v>
      </c>
      <c r="C4" s="2">
        <v>100</v>
      </c>
      <c r="D4" s="2" t="s">
        <v>27</v>
      </c>
      <c r="E4" s="2" t="s">
        <v>29</v>
      </c>
      <c r="F4" s="2" t="s">
        <v>28</v>
      </c>
      <c r="G4" s="2" t="s">
        <v>89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Reds</v>
      </c>
    </row>
    <row r="5" spans="1:28" x14ac:dyDescent="0.25">
      <c r="A5" s="2" t="s">
        <v>36</v>
      </c>
      <c r="B5" s="2" t="s">
        <v>25</v>
      </c>
      <c r="C5" s="2">
        <v>150</v>
      </c>
      <c r="D5" s="2" t="s">
        <v>27</v>
      </c>
      <c r="E5" s="2" t="s">
        <v>29</v>
      </c>
      <c r="F5" s="2" t="s">
        <v>28</v>
      </c>
      <c r="G5" s="2" t="s">
        <v>89</v>
      </c>
      <c r="H5" s="2" t="s">
        <v>33</v>
      </c>
      <c r="I5" s="2" t="s">
        <v>34</v>
      </c>
      <c r="J5" s="2" t="s">
        <v>35</v>
      </c>
      <c r="K5" s="2" t="s">
        <v>90</v>
      </c>
      <c r="L5" s="2" t="s">
        <v>30</v>
      </c>
      <c r="M5" s="2" t="s">
        <v>31</v>
      </c>
      <c r="N5" s="2" t="s">
        <v>32</v>
      </c>
      <c r="O5" s="2" t="s">
        <v>91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>All Colors</v>
      </c>
    </row>
    <row r="6" spans="1:2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/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Overview</vt:lpstr>
      <vt:lpstr>Fixture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2023-08-14T18:41:22Z</dcterms:modified>
</cp:coreProperties>
</file>