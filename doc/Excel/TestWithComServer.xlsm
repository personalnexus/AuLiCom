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485" documentId="8_{33E53E1F-A3F6-4075-900F-54641BCFD3E8}" xr6:coauthVersionLast="47" xr6:coauthVersionMax="47" xr10:uidLastSave="{0590519B-7C8F-4067-8E30-C4069DDDCAE4}"/>
  <bookViews>
    <workbookView xWindow="-120" yWindow="-120" windowWidth="38640" windowHeight="21240" xr2:uid="{AB2CF87F-81B4-4088-AE2E-2820582A8761}"/>
  </bookViews>
  <sheets>
    <sheet name="Overview" sheetId="1" r:id="rId1"/>
    <sheet name="Scene Definition" sheetId="2" r:id="rId2"/>
    <sheet name="Scene Player" sheetId="4" r:id="rId3"/>
    <sheet name="Chasers" sheetId="5" r:id="rId4"/>
    <sheet name="Fixtures" sheetId="3" r:id="rId5"/>
    <sheet name="Parameters" sheetId="7" r:id="rId6"/>
  </sheets>
  <definedNames>
    <definedName name="ChannelManualMode">Overview!$K$1</definedName>
    <definedName name="ChannelMaster">Overview!$J$1</definedName>
    <definedName name="ChannelsVersion">Overview!$A$8</definedName>
    <definedName name="ChaserKinds">OFFSET(Parameters!$A$2,0,0,COUNTA(Parameters!$A:$A)-1)</definedName>
    <definedName name="DmxVersion">Overview!$A$5</definedName>
    <definedName name="FixturesVersion">Overview!$A$6</definedName>
    <definedName name="FixtureTypes">OFFSET(Parameters!$B$2,0,0,COUNTA(Parameters!$B:$B)-1)</definedName>
    <definedName name="SceneNames">OFFSET(Parameters!$C$2,0,0,COUNTA(Parameters!$C:$C)-1)</definedName>
    <definedName name="ScenesVersion">Overview!$A$7</definedName>
    <definedName name="SelectedPort">Overview!$A$4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5" l="1" a="1"/>
  <c r="AB21" i="5" s="1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A2" i="7" a="1"/>
  <c r="AB5" i="5" a="1"/>
  <c r="B2" i="7" a="1"/>
  <c r="AB6" i="5" a="1"/>
  <c r="AB4" i="5" a="1"/>
  <c r="C2" i="7" a="1"/>
  <c r="AB6" i="5" l="1"/>
  <c r="AB5" i="5"/>
  <c r="AB4" i="5"/>
  <c r="C2" i="7"/>
  <c r="B2" i="7"/>
  <c r="A2" i="7"/>
  <c r="B6" i="2"/>
  <c r="A5" i="1" a="1"/>
  <c r="A14" i="1" a="1"/>
  <c r="E2" i="4" a="1"/>
  <c r="A6" i="1" a="1"/>
  <c r="A7" i="1" a="1"/>
  <c r="E4" i="1" a="1"/>
  <c r="A8" i="1" a="1"/>
  <c r="K11" i="1" a="1"/>
  <c r="A2" i="4" a="1"/>
  <c r="K18" i="1" a="1"/>
  <c r="K12" i="1" a="1"/>
  <c r="K9" i="1" a="1"/>
  <c r="K16" i="1" a="1"/>
  <c r="K17" i="1" a="1"/>
  <c r="K15" i="1" a="1"/>
  <c r="K10" i="1" a="1"/>
  <c r="K14" i="1" a="1"/>
  <c r="K7" i="1" a="1"/>
  <c r="K8" i="1" a="1"/>
  <c r="K13" i="1" a="1"/>
  <c r="B7" i="2" l="1"/>
  <c r="A14" i="1"/>
  <c r="A6" i="1"/>
  <c r="A2" i="4"/>
  <c r="E4" i="1"/>
  <c r="E2" i="4"/>
  <c r="A7" i="1"/>
  <c r="A8" i="1"/>
  <c r="K17" i="1"/>
  <c r="K15" i="1"/>
  <c r="K13" i="1"/>
  <c r="K11" i="1"/>
  <c r="K9" i="1"/>
  <c r="K18" i="1"/>
  <c r="K16" i="1"/>
  <c r="K14" i="1"/>
  <c r="K12" i="1"/>
  <c r="K10" i="1"/>
  <c r="K8" i="1"/>
  <c r="K7" i="1"/>
  <c r="A5" i="1"/>
  <c r="C7" i="1" a="1"/>
  <c r="E2" i="3" a="1"/>
  <c r="I2" i="4" a="1"/>
  <c r="I4" i="1" a="1"/>
  <c r="B8" i="2" l="1"/>
  <c r="I4" i="1"/>
  <c r="E2" i="3"/>
  <c r="I2" i="4"/>
  <c r="C7" i="1"/>
  <c r="D2" i="3" a="1"/>
  <c r="B9" i="2" l="1"/>
  <c r="D2" i="3"/>
  <c r="C3" i="3"/>
  <c r="E3" i="3" a="1"/>
  <c r="B10" i="2" l="1"/>
  <c r="E3" i="3"/>
  <c r="D3" i="3" a="1"/>
  <c r="B11" i="2" l="1"/>
  <c r="D3" i="3"/>
  <c r="C4" i="3" s="1"/>
  <c r="E4" i="3" a="1"/>
  <c r="B12" i="2" l="1"/>
  <c r="E4" i="3"/>
  <c r="D4" i="3" a="1"/>
  <c r="B13" i="2" l="1"/>
  <c r="D4" i="3"/>
  <c r="C5" i="3" s="1"/>
  <c r="L4" i="2" a="1"/>
  <c r="O4" i="2" a="1"/>
  <c r="N4" i="2" a="1"/>
  <c r="Q4" i="2" a="1"/>
  <c r="M4" i="2" a="1"/>
  <c r="P4" i="2" a="1"/>
  <c r="F4" i="2" a="1"/>
  <c r="I4" i="2" a="1"/>
  <c r="G4" i="2" a="1"/>
  <c r="K4" i="2" a="1"/>
  <c r="C4" i="2" a="1"/>
  <c r="J4" i="2" a="1"/>
  <c r="E4" i="2" a="1"/>
  <c r="D4" i="2" a="1"/>
  <c r="H4" i="2" a="1"/>
  <c r="E5" i="3" a="1"/>
  <c r="P4" i="2" l="1"/>
  <c r="M4" i="2"/>
  <c r="Q4" i="2"/>
  <c r="N4" i="2"/>
  <c r="O4" i="2"/>
  <c r="L4" i="2"/>
  <c r="J4" i="2"/>
  <c r="K4" i="2"/>
  <c r="I4" i="2"/>
  <c r="H4" i="2"/>
  <c r="C4" i="2"/>
  <c r="G4" i="2"/>
  <c r="F4" i="2"/>
  <c r="D4" i="2"/>
  <c r="E4" i="2"/>
  <c r="E5" i="3"/>
  <c r="D5" i="3" a="1"/>
  <c r="D5" i="3" l="1"/>
  <c r="C6" i="3" s="1"/>
  <c r="E6" i="3" a="1"/>
  <c r="E6" i="3" l="1"/>
  <c r="D6" i="3" a="1"/>
  <c r="D6" i="3" l="1"/>
  <c r="C7" i="3" s="1"/>
  <c r="E7" i="3" s="1" a="1"/>
  <c r="E7" i="3" l="1"/>
  <c r="D7" i="3" s="1" a="1"/>
  <c r="D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<sst xmlns="http://schemas.openxmlformats.org/spreadsheetml/2006/main" count="94" uniqueCount="70">
  <si>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</si>
  <si>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</si>
  <si>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</si>
  <si>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</si>
  <si>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</si>
  <si>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</si>
  <si>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</si>
  <si>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</si>
  <si>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</si>
  <si>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</si>
  <si>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</si>
  <si>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</si>
  <si>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</si>
  <si>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</si>
  <si>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</si>
  <si>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</si>
  <si>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</si>
  <si>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</si>
  <si>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Mixed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</si>
  <si>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</si>
  <si>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</si>
  <si>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</si>
  <si>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</si>
  <si>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</si>
  <si>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</si>
  <si>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</si>
  <si>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</si>
  <si>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</si>
  <si>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</si>
  <si>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</si>
  <si>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</si>
  <si>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</si>
  <si>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</si>
  <si>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</si>
  <si>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COMMANDS</t>
  </si>
  <si>
    <t>Input</t>
  </si>
  <si>
    <t>Output</t>
  </si>
  <si>
    <t>Lamp2</t>
  </si>
  <si>
    <t>Lamp3</t>
  </si>
  <si>
    <t>Select One Scene below</t>
  </si>
  <si>
    <t>Blue Only</t>
  </si>
  <si>
    <t>Green Only</t>
  </si>
  <si>
    <t>Empty</t>
  </si>
  <si>
    <t>Fluter</t>
  </si>
  <si>
    <t>CameoThunderWash600Rgbw7Ch2</t>
  </si>
  <si>
    <t>COM6</t>
  </si>
  <si>
    <t>CHASERS</t>
  </si>
  <si>
    <t>Step Duration in Milliseconds</t>
  </si>
  <si>
    <t>Steps</t>
  </si>
  <si>
    <t>RGB</t>
  </si>
  <si>
    <t>Kind</t>
  </si>
  <si>
    <t>Active</t>
  </si>
  <si>
    <t>Fixture Types</t>
  </si>
  <si>
    <t>Chaser Kinds</t>
  </si>
  <si>
    <t>Scenes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</si>
  <si>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</si>
  <si>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</si>
  <si>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</si>
  <si>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</si>
  <si>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</si>
  <si>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</si>
  <si>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</si>
  <si>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</si>
  <si>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</si>
  <si>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</si>
  <si>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</si>
  <si>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</si>
  <si>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BLue2</t>
  </si>
  <si>
    <t>BackAndForth</t>
  </si>
  <si>
    <t>Once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</si>
</sst>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left"/>
    </xf>
    <xf numFmtId="0" fontId="2" fillId="2" borderId="2" xfId="1" applyBorder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94f92ccd964c475d88e147723ab11965">
      <tp>
        <v>7</v>
        <stp/>
        <stp>8c9ac30d-5980-4a77-98ba-faf5d85d9057</stp>
        <tr r="A6" s="1"/>
      </tp>
      <tp>
        <v>17</v>
        <stp/>
        <stp>21695d28-5a3d-499b-9af5-d07de535b00e</stp>
        <tr r="A2" s="4"/>
        <tr r="C2" s="7"/>
      </tp>
      <tp>
        <v>7</v>
        <stp/>
        <stp>5e82bcba-6698-43c6-bc34-9ee7580ec999</stp>
        <tr r="E4" s="1"/>
        <tr r="E2" s="4"/>
      </tp>
      <tp>
        <v>7</v>
        <stp/>
        <stp>54eec29a-c894-4de5-83a6-925777228d06</stp>
        <tr r="I4" s="1"/>
        <tr r="I2" s="4"/>
      </tp>
      <tp>
        <v>120</v>
        <stp/>
        <stp>b4aaabbf-9938-41a9-9358-03460db74a57</stp>
        <tr r="I4" s="1"/>
        <tr r="I2" s="4"/>
      </tp>
    </main>
    <main first="rtdsrv_94f92ccd964c475d88e147723ab11965">
      <tp>
        <v>17</v>
        <stp/>
        <stp>fa78f30a-b93e-4e44-add0-6f90882fe7ac</stp>
        <tr r="A7" s="1"/>
      </tp>
    </main>
    <main first="rtdsrv_94f92ccd964c475d88e147723ab11965">
      <tp>
        <v>157</v>
        <stp/>
        <stp>10085302-b62a-49db-9b27-41603d8a4d7b</stp>
        <tr r="A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J13" sqref="J13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34</v>
      </c>
      <c r="E1" s="1" t="s">
        <v>10</v>
      </c>
      <c r="I1" t="s">
        <v>23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35</v>
      </c>
      <c r="E3" s="1" t="s">
        <v>27</v>
      </c>
      <c r="F3" s="1" t="s">
        <v>28</v>
      </c>
      <c r="G3" s="1" t="s">
        <v>26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45</v>
      </c>
      <c r="C4" s="10"/>
      <c r="E4" t="str" cm="1">
        <f t="array" ref="E4:H25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25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FIXTURES:6</v>
      </c>
      <c r="C6" s="1" t="s">
        <v>36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SCENES:16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CHANNELS:156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100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s">
        <v>42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3" t="e" cm="1">
        <f t="array" ref="A14">_xll.AuLiComGetDmxPorts(TRUE)</f>
        <v>#VALUE!</v>
      </c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  <c r="E19" t="str">
        <v>Fluter</v>
      </c>
      <c r="F19" t="str">
        <v>CameoThunderWash600Rgbw7Ch2</v>
      </c>
      <c r="G19" t="str">
        <v>Intensity</v>
      </c>
      <c r="H19">
        <v>16</v>
      </c>
      <c r="I19">
        <f ca="1"/>
        <v>0</v>
      </c>
    </row>
    <row r="20" spans="1:11" x14ac:dyDescent="0.25">
      <c r="C20" s="9"/>
      <c r="E20" t="str">
        <v>Fluter</v>
      </c>
      <c r="F20" t="str">
        <v>CameoThunderWash600Rgbw7Ch2</v>
      </c>
      <c r="G20" t="str">
        <v>StrobeSpeed</v>
      </c>
      <c r="H20">
        <v>17</v>
      </c>
      <c r="I20">
        <f ca="1"/>
        <v>0</v>
      </c>
    </row>
    <row r="21" spans="1:11" x14ac:dyDescent="0.25">
      <c r="C21" s="9"/>
      <c r="E21" t="str">
        <v>Fluter</v>
      </c>
      <c r="F21" t="str">
        <v>CameoThunderWash600Rgbw7Ch2</v>
      </c>
      <c r="G21" t="str">
        <v>FlashDuration</v>
      </c>
      <c r="H21">
        <v>18</v>
      </c>
      <c r="I21">
        <f ca="1"/>
        <v>0</v>
      </c>
    </row>
    <row r="22" spans="1:11" x14ac:dyDescent="0.25">
      <c r="C22" s="9"/>
      <c r="E22" t="str">
        <v>Fluter</v>
      </c>
      <c r="F22" t="str">
        <v>CameoThunderWash600Rgbw7Ch2</v>
      </c>
      <c r="G22" t="str">
        <v>Red</v>
      </c>
      <c r="H22">
        <v>19</v>
      </c>
      <c r="I22">
        <f ca="1"/>
        <v>0</v>
      </c>
    </row>
    <row r="23" spans="1:11" x14ac:dyDescent="0.25">
      <c r="C23" s="9"/>
      <c r="E23" t="str">
        <v>Fluter</v>
      </c>
      <c r="F23" t="str">
        <v>CameoThunderWash600Rgbw7Ch2</v>
      </c>
      <c r="G23" t="str">
        <v>Green</v>
      </c>
      <c r="H23">
        <v>20</v>
      </c>
      <c r="I23">
        <f ca="1"/>
        <v>0</v>
      </c>
    </row>
    <row r="24" spans="1:11" x14ac:dyDescent="0.25">
      <c r="C24" s="9"/>
      <c r="E24" t="str">
        <v>Fluter</v>
      </c>
      <c r="F24" t="str">
        <v>CameoThunderWash600Rgbw7Ch2</v>
      </c>
      <c r="G24" t="str">
        <v>Blue</v>
      </c>
      <c r="H24">
        <v>21</v>
      </c>
      <c r="I24">
        <f ca="1"/>
        <v>0</v>
      </c>
    </row>
    <row r="25" spans="1:11" x14ac:dyDescent="0.25">
      <c r="C25" s="9"/>
      <c r="E25" t="str">
        <v>Fluter</v>
      </c>
      <c r="F25" t="str">
        <v>CameoThunderWash600Rgbw7Ch2</v>
      </c>
      <c r="G25" t="str">
        <v>White</v>
      </c>
      <c r="H25">
        <v>22</v>
      </c>
      <c r="I25">
        <f ca="1"/>
        <v>0</v>
      </c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$A$13:$A$16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Q13"/>
  <sheetViews>
    <sheetView workbookViewId="0">
      <selection activeCell="K12" sqref="K12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17" x14ac:dyDescent="0.25">
      <c r="A1" s="16" t="s">
        <v>19</v>
      </c>
      <c r="B1" s="16"/>
      <c r="C1" s="2" t="s">
        <v>18</v>
      </c>
      <c r="D1" s="2" t="s">
        <v>21</v>
      </c>
      <c r="E1" s="2" t="s">
        <v>20</v>
      </c>
      <c r="F1" s="2" t="s">
        <v>22</v>
      </c>
      <c r="G1" s="2" t="s">
        <v>40</v>
      </c>
      <c r="H1" s="2" t="s">
        <v>41</v>
      </c>
      <c r="I1" s="15" t="s">
        <v>57</v>
      </c>
      <c r="J1" s="15" t="s">
        <v>59</v>
      </c>
      <c r="K1" s="15" t="s">
        <v>58</v>
      </c>
      <c r="L1" s="15" t="s">
        <v>60</v>
      </c>
      <c r="M1" s="15" t="s">
        <v>61</v>
      </c>
      <c r="N1" s="15" t="s">
        <v>62</v>
      </c>
      <c r="O1" s="15" t="s">
        <v>63</v>
      </c>
      <c r="P1" s="15" t="s">
        <v>64</v>
      </c>
      <c r="Q1" s="15" t="s">
        <v>65</v>
      </c>
    </row>
    <row r="2" spans="1:17" x14ac:dyDescent="0.25">
      <c r="A2" s="8"/>
      <c r="B2" s="8"/>
    </row>
    <row r="3" spans="1:17" x14ac:dyDescent="0.25">
      <c r="A3" s="8"/>
      <c r="B3" s="8"/>
    </row>
    <row r="4" spans="1:17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  <c r="I4" s="3" t="str" cm="1">
        <f t="array" ref="I4">_xll.AuLiComSetScene(I1,$B$5:$B$13,I5:I13)</f>
        <v>Red1</v>
      </c>
      <c r="J4" s="3" t="str" cm="1">
        <f t="array" ref="J4">_xll.AuLiComSetScene(J1,$B$5:$B$13,J5:J13)</f>
        <v>Red2</v>
      </c>
      <c r="K4" s="3" t="str" cm="1">
        <f t="array" ref="K4">_xll.AuLiComSetScene(K1,$B$5:$B$13,K5:K13)</f>
        <v>Red3</v>
      </c>
      <c r="L4" s="3" t="str" cm="1">
        <f t="array" ref="L4">_xll.AuLiComSetScene(L1,$B$5:$B$13,L5:L13)</f>
        <v>Blue1</v>
      </c>
      <c r="M4" s="3" t="str" cm="1">
        <f t="array" ref="M4">_xll.AuLiComSetScene(M1,$B$5:$B$13,M5:M13)</f>
        <v>Blue2</v>
      </c>
      <c r="N4" s="3" t="str" cm="1">
        <f t="array" ref="N4">_xll.AuLiComSetScene(N1,$B$5:$B$13,N5:N13)</f>
        <v>Blue3</v>
      </c>
      <c r="O4" s="3" t="str" cm="1">
        <f t="array" ref="O4">_xll.AuLiComSetScene(O1,$B$5:$B$13,O5:O13)</f>
        <v>Green1</v>
      </c>
      <c r="P4" s="3" t="str" cm="1">
        <f t="array" ref="P4">_xll.AuLiComSetScene(P1,$B$5:$B$13,P5:P13)</f>
        <v>Green2</v>
      </c>
      <c r="Q4" s="3" t="str" cm="1">
        <f t="array" ref="Q4">_xll.AuLiComSetScene(Q1,$B$5:$B$13,Q5:Q13)</f>
        <v>Green3</v>
      </c>
    </row>
    <row r="5" spans="1:17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  <c r="I5" s="2">
        <v>100</v>
      </c>
      <c r="J5" s="2"/>
      <c r="K5" s="2"/>
      <c r="L5" s="2"/>
      <c r="M5" s="2"/>
      <c r="N5" s="2"/>
      <c r="O5" s="2"/>
      <c r="P5" s="2"/>
      <c r="Q5" s="2"/>
    </row>
    <row r="6" spans="1:17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  <c r="I6" s="2"/>
      <c r="J6" s="2"/>
      <c r="K6" s="2"/>
      <c r="L6" s="2"/>
      <c r="M6" s="2"/>
      <c r="N6" s="2"/>
      <c r="O6" s="2">
        <v>100</v>
      </c>
      <c r="P6" s="2"/>
      <c r="Q6" s="2"/>
    </row>
    <row r="7" spans="1:17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  <c r="I7" s="2"/>
      <c r="J7" s="2"/>
      <c r="K7" s="2"/>
      <c r="L7" s="2">
        <v>100</v>
      </c>
      <c r="M7" s="2"/>
      <c r="N7" s="2"/>
      <c r="O7" s="2"/>
      <c r="P7" s="2"/>
      <c r="Q7" s="2"/>
    </row>
    <row r="8" spans="1:17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  <c r="I8" s="2"/>
      <c r="J8" s="2">
        <v>100</v>
      </c>
      <c r="K8" s="2"/>
      <c r="L8" s="2"/>
      <c r="M8" s="2"/>
      <c r="N8" s="2"/>
      <c r="O8" s="2"/>
      <c r="P8" s="2"/>
      <c r="Q8" s="2"/>
    </row>
    <row r="9" spans="1:17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  <c r="I9" s="2"/>
      <c r="J9" s="2"/>
      <c r="K9" s="2"/>
      <c r="L9" s="2"/>
      <c r="M9" s="2"/>
      <c r="N9" s="2"/>
      <c r="O9" s="2"/>
      <c r="P9" s="2">
        <v>100</v>
      </c>
      <c r="Q9" s="2"/>
    </row>
    <row r="10" spans="1:17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  <c r="I10" s="2"/>
      <c r="J10" s="2"/>
      <c r="K10" s="2"/>
      <c r="L10" s="2"/>
      <c r="M10" s="2">
        <v>100</v>
      </c>
      <c r="N10" s="2"/>
      <c r="O10" s="2"/>
      <c r="P10" s="2"/>
      <c r="Q10" s="2"/>
    </row>
    <row r="11" spans="1:17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  <c r="I11" s="2"/>
      <c r="J11" s="2"/>
      <c r="K11" s="2">
        <v>100</v>
      </c>
      <c r="L11" s="2"/>
      <c r="M11" s="2"/>
      <c r="N11" s="2"/>
      <c r="O11" s="2"/>
      <c r="P11" s="2"/>
      <c r="Q11" s="2"/>
    </row>
    <row r="12" spans="1:17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  <c r="I12" s="2"/>
      <c r="J12" s="2"/>
      <c r="K12" s="2"/>
      <c r="L12" s="2"/>
      <c r="M12" s="2"/>
      <c r="N12" s="2"/>
      <c r="O12" s="2"/>
      <c r="P12" s="2"/>
      <c r="Q12" s="2">
        <v>100</v>
      </c>
    </row>
    <row r="13" spans="1:17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  <c r="I13" s="2"/>
      <c r="J13" s="2"/>
      <c r="K13" s="2"/>
      <c r="L13" s="2"/>
      <c r="M13" s="2"/>
      <c r="N13" s="2">
        <v>100</v>
      </c>
      <c r="O13" s="2"/>
      <c r="P13" s="2"/>
      <c r="Q13" s="2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23"/>
  <sheetViews>
    <sheetView workbookViewId="0">
      <selection activeCell="B14" sqref="B14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39</v>
      </c>
      <c r="B1" s="11"/>
      <c r="E1" s="1" t="s">
        <v>27</v>
      </c>
      <c r="F1" s="1" t="s">
        <v>28</v>
      </c>
      <c r="G1" s="1" t="s">
        <v>26</v>
      </c>
      <c r="H1" s="1" t="s">
        <v>13</v>
      </c>
      <c r="I1" s="1" t="s">
        <v>15</v>
      </c>
    </row>
    <row r="2" spans="1:9" x14ac:dyDescent="0.25">
      <c r="A2" s="12" t="str" cm="1">
        <f t="array" ref="A2:A16">_xll.AuLiComGetScenes()</f>
        <v>Blue1</v>
      </c>
      <c r="B2" s="12">
        <v>0</v>
      </c>
      <c r="E2" t="str" cm="1">
        <f t="array" ref="E2:H23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23" ca="1">_xll.AuLiComGetChannelValues(OFFSET($H$2,0,0,_xll.AuLiComGetFixtureChannelCountTotal(),1))</f>
        <v>0</v>
      </c>
    </row>
    <row r="3" spans="1:9" x14ac:dyDescent="0.25">
      <c r="A3" s="12" t="str">
        <v>Green1</v>
      </c>
      <c r="B3" s="12">
        <v>1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Blue3</v>
      </c>
      <c r="B4" s="12">
        <v>2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Green3</v>
      </c>
      <c r="B5" s="12">
        <v>1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0</v>
      </c>
    </row>
    <row r="6" spans="1:9" x14ac:dyDescent="0.25">
      <c r="A6" s="12" t="str">
        <v>Blue2</v>
      </c>
      <c r="B6" s="12">
        <v>0.5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0</v>
      </c>
    </row>
    <row r="7" spans="1:9" x14ac:dyDescent="0.25">
      <c r="A7" s="12" t="str">
        <v>Green2</v>
      </c>
      <c r="B7" s="12">
        <v>5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100</v>
      </c>
    </row>
    <row r="8" spans="1:9" x14ac:dyDescent="0.25">
      <c r="A8" s="12" t="str">
        <v>All</v>
      </c>
      <c r="B8" s="12">
        <v>1</v>
      </c>
      <c r="E8" t="str">
        <v>LED Bar</v>
      </c>
      <c r="F8" t="str">
        <v>CameoLedBar12Ch</v>
      </c>
      <c r="G8" t="str">
        <v>Red2</v>
      </c>
      <c r="H8">
        <v>7</v>
      </c>
      <c r="I8">
        <f ca="1"/>
        <v>0</v>
      </c>
    </row>
    <row r="9" spans="1:9" x14ac:dyDescent="0.25">
      <c r="A9" s="12" t="str">
        <v>Red1</v>
      </c>
      <c r="B9" s="12">
        <v>1</v>
      </c>
      <c r="E9" t="str">
        <v>LED Bar</v>
      </c>
      <c r="F9" t="str">
        <v>CameoLedBar12Ch</v>
      </c>
      <c r="G9" t="str">
        <v>Green2</v>
      </c>
      <c r="H9">
        <v>8</v>
      </c>
      <c r="I9">
        <f ca="1"/>
        <v>0</v>
      </c>
    </row>
    <row r="10" spans="1:9" x14ac:dyDescent="0.25">
      <c r="A10" s="12" t="str">
        <v>Blue Only</v>
      </c>
      <c r="B10" s="12">
        <v>1</v>
      </c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A11" s="12" t="str">
        <v>Red3</v>
      </c>
      <c r="B11" s="12">
        <v>1</v>
      </c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0</v>
      </c>
    </row>
    <row r="12" spans="1:9" x14ac:dyDescent="0.25">
      <c r="A12" s="12" t="str">
        <v>Mixed</v>
      </c>
      <c r="B12" s="12">
        <v>1</v>
      </c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0</v>
      </c>
    </row>
    <row r="13" spans="1:9" x14ac:dyDescent="0.25">
      <c r="A13" s="12" t="str">
        <v>Red2</v>
      </c>
      <c r="B13" s="12">
        <v>1</v>
      </c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A14" s="12" t="str">
        <v>Black</v>
      </c>
      <c r="B14" s="12">
        <v>1</v>
      </c>
      <c r="C14" s="13" t="s">
        <v>51</v>
      </c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A15" s="12" t="str">
        <v>Red Only</v>
      </c>
      <c r="B15" s="12">
        <v>1</v>
      </c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A16" s="12" t="str">
        <v>Green Only</v>
      </c>
      <c r="B16" s="12">
        <v>1</v>
      </c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  <row r="17" spans="5:9" x14ac:dyDescent="0.25">
      <c r="E17" t="str">
        <v>Fluter</v>
      </c>
      <c r="F17" t="str">
        <v>CameoThunderWash600Rgbw7Ch2</v>
      </c>
      <c r="G17" t="str">
        <v>Intensity</v>
      </c>
      <c r="H17">
        <v>16</v>
      </c>
      <c r="I17">
        <f ca="1"/>
        <v>0</v>
      </c>
    </row>
    <row r="18" spans="5:9" x14ac:dyDescent="0.25">
      <c r="E18" t="str">
        <v>Fluter</v>
      </c>
      <c r="F18" t="str">
        <v>CameoThunderWash600Rgbw7Ch2</v>
      </c>
      <c r="G18" t="str">
        <v>StrobeSpeed</v>
      </c>
      <c r="H18">
        <v>17</v>
      </c>
      <c r="I18">
        <f ca="1"/>
        <v>0</v>
      </c>
    </row>
    <row r="19" spans="5:9" x14ac:dyDescent="0.25">
      <c r="E19" t="str">
        <v>Fluter</v>
      </c>
      <c r="F19" t="str">
        <v>CameoThunderWash600Rgbw7Ch2</v>
      </c>
      <c r="G19" t="str">
        <v>FlashDuration</v>
      </c>
      <c r="H19">
        <v>18</v>
      </c>
      <c r="I19">
        <f ca="1"/>
        <v>0</v>
      </c>
    </row>
    <row r="20" spans="5:9" x14ac:dyDescent="0.25">
      <c r="E20" t="str">
        <v>Fluter</v>
      </c>
      <c r="F20" t="str">
        <v>CameoThunderWash600Rgbw7Ch2</v>
      </c>
      <c r="G20" t="str">
        <v>Red</v>
      </c>
      <c r="H20">
        <v>19</v>
      </c>
      <c r="I20">
        <f ca="1"/>
        <v>0</v>
      </c>
    </row>
    <row r="21" spans="5:9" x14ac:dyDescent="0.25">
      <c r="E21" t="str">
        <v>Fluter</v>
      </c>
      <c r="F21" t="str">
        <v>CameoThunderWash600Rgbw7Ch2</v>
      </c>
      <c r="G21" t="str">
        <v>Green</v>
      </c>
      <c r="H21">
        <v>20</v>
      </c>
      <c r="I21">
        <f ca="1"/>
        <v>0</v>
      </c>
    </row>
    <row r="22" spans="5:9" x14ac:dyDescent="0.25">
      <c r="E22" t="str">
        <v>Fluter</v>
      </c>
      <c r="F22" t="str">
        <v>CameoThunderWash600Rgbw7Ch2</v>
      </c>
      <c r="G22" t="str">
        <v>Blue</v>
      </c>
      <c r="H22">
        <v>21</v>
      </c>
      <c r="I22">
        <f ca="1"/>
        <v>0</v>
      </c>
    </row>
    <row r="23" spans="5:9" x14ac:dyDescent="0.25">
      <c r="E23" t="str">
        <v>Fluter</v>
      </c>
      <c r="F23" t="str">
        <v>CameoThunderWash600Rgbw7Ch2</v>
      </c>
      <c r="G23" t="str">
        <v>White</v>
      </c>
      <c r="H23">
        <v>22</v>
      </c>
      <c r="I23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1"/>
  <sheetViews>
    <sheetView workbookViewId="0">
      <selection activeCell="B6" sqref="B6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46</v>
      </c>
    </row>
    <row r="3" spans="1:28" x14ac:dyDescent="0.25">
      <c r="A3" s="1" t="s">
        <v>12</v>
      </c>
      <c r="B3" s="1" t="s">
        <v>50</v>
      </c>
      <c r="C3" s="1" t="s">
        <v>47</v>
      </c>
      <c r="D3" s="1" t="s">
        <v>48</v>
      </c>
    </row>
    <row r="4" spans="1:28" x14ac:dyDescent="0.25">
      <c r="A4" s="2" t="s">
        <v>49</v>
      </c>
      <c r="B4" s="2" t="s">
        <v>69</v>
      </c>
      <c r="C4" s="2">
        <v>1000</v>
      </c>
      <c r="D4" s="2" t="s">
        <v>21</v>
      </c>
      <c r="E4" s="2" t="s">
        <v>41</v>
      </c>
      <c r="F4" s="2" t="s">
        <v>40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RGB</v>
      </c>
    </row>
    <row r="5" spans="1:28" x14ac:dyDescent="0.25">
      <c r="A5" s="2" t="s">
        <v>56</v>
      </c>
      <c r="B5" s="2" t="s">
        <v>68</v>
      </c>
      <c r="C5" s="2">
        <v>50</v>
      </c>
      <c r="D5" s="2" t="s">
        <v>57</v>
      </c>
      <c r="E5" s="2" t="s">
        <v>59</v>
      </c>
      <c r="F5" s="2" t="s">
        <v>58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Reds</v>
      </c>
    </row>
    <row r="6" spans="1:28" x14ac:dyDescent="0.25">
      <c r="A6" s="2" t="s">
        <v>66</v>
      </c>
      <c r="B6" s="2" t="s">
        <v>55</v>
      </c>
      <c r="C6" s="2">
        <v>150</v>
      </c>
      <c r="D6" s="2" t="s">
        <v>57</v>
      </c>
      <c r="E6" s="2" t="s">
        <v>59</v>
      </c>
      <c r="F6" s="2" t="s">
        <v>58</v>
      </c>
      <c r="G6" s="2" t="s">
        <v>60</v>
      </c>
      <c r="H6" s="2" t="s">
        <v>67</v>
      </c>
      <c r="I6" s="2" t="s">
        <v>62</v>
      </c>
      <c r="J6" s="2" t="s">
        <v>63</v>
      </c>
      <c r="K6" s="2" t="s">
        <v>64</v>
      </c>
      <c r="L6" s="2" t="s">
        <v>65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>All Colors</v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B21" s="3" t="str" cm="1">
        <f t="array" ref="AB21">IF(OR(A21="",B21="",C21="",D21=""),"",_xll.AuLiComSetChaser(A21,B21,C21,D21:Z21))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I7"/>
  <sheetViews>
    <sheetView workbookViewId="0">
      <selection activeCell="E6" sqref="E6"/>
    </sheetView>
  </sheetViews>
  <sheetFormatPr defaultRowHeight="15" x14ac:dyDescent="0.25"/>
  <cols>
    <col min="1" max="1" width="7.42578125" bestFit="1" customWidth="1"/>
    <col min="2" max="2" width="32.28515625" bestFit="1" customWidth="1"/>
    <col min="3" max="3" width="12.85546875" bestFit="1" customWidth="1"/>
    <col min="4" max="4" width="14.85546875" customWidth="1"/>
    <col min="5" max="5" width="13.5703125" bestFit="1" customWidth="1"/>
    <col min="9" max="9" width="8.140625" bestFit="1" customWidth="1"/>
    <col min="10" max="10" width="17.7109375" bestFit="1" customWidth="1"/>
    <col min="11" max="11" width="7.7109375" bestFit="1" customWidth="1"/>
    <col min="12" max="12" width="3" bestFit="1" customWidth="1"/>
  </cols>
  <sheetData>
    <row r="1" spans="1:9" x14ac:dyDescent="0.25">
      <c r="A1" s="1" t="s">
        <v>12</v>
      </c>
      <c r="B1" s="1" t="s">
        <v>31</v>
      </c>
      <c r="C1" s="1" t="s">
        <v>32</v>
      </c>
      <c r="D1" s="1" t="s">
        <v>33</v>
      </c>
      <c r="E1" s="1"/>
      <c r="I1" s="1"/>
    </row>
    <row r="2" spans="1:9" x14ac:dyDescent="0.25">
      <c r="A2" s="2" t="s">
        <v>24</v>
      </c>
      <c r="B2" s="2" t="s">
        <v>25</v>
      </c>
      <c r="C2">
        <v>1</v>
      </c>
      <c r="D2" cm="1">
        <f t="array" ref="D2">IF(E2&lt;&gt;"",_xll.AuLiComGetFixtureChannelCount(A2),"")</f>
        <v>12</v>
      </c>
      <c r="E2" s="3" t="str" cm="1">
        <f t="array" ref="E2">IF(AND(A2&lt;&gt;"",B2&lt;&gt;"",C2&lt;&gt;""),_xll.AuLiComSetFixture(DmxVersion,A2,B2,C2),"")</f>
        <v>Already exists</v>
      </c>
    </row>
    <row r="3" spans="1:9" x14ac:dyDescent="0.25">
      <c r="A3" s="2" t="s">
        <v>29</v>
      </c>
      <c r="B3" s="2" t="s">
        <v>30</v>
      </c>
      <c r="C3">
        <f>IF(AND(A3&lt;&gt;"",B3&lt;&gt;""),C2+D2,"")</f>
        <v>13</v>
      </c>
      <c r="D3" cm="1">
        <f t="array" ref="D3">IF(E3&lt;&gt;"",_xll.AuLiComGetFixtureChannelCount(A3),"")</f>
        <v>1</v>
      </c>
      <c r="E3" s="3" t="str" cm="1">
        <f t="array" ref="E3">IF(AND(A3&lt;&gt;"",B3&lt;&gt;"",C3&lt;&gt;""),_xll.AuLiComSetFixture(DmxVersion,A3,B3,C3),"")</f>
        <v>Already exists</v>
      </c>
    </row>
    <row r="4" spans="1:9" x14ac:dyDescent="0.25">
      <c r="A4" s="2" t="s">
        <v>37</v>
      </c>
      <c r="B4" s="2" t="s">
        <v>30</v>
      </c>
      <c r="C4">
        <f t="shared" ref="C4:C7" si="0">IF(AND(A4&lt;&gt;"",B4&lt;&gt;""),C3+D3,"")</f>
        <v>14</v>
      </c>
      <c r="D4" cm="1">
        <f t="array" ref="D4">IF(E4&lt;&gt;"",_xll.AuLiComGetFixtureChannelCount(A4),"")</f>
        <v>1</v>
      </c>
      <c r="E4" s="3" t="str" cm="1">
        <f t="array" ref="E4">IF(AND(A4&lt;&gt;"",B4&lt;&gt;"",C4&lt;&gt;""),_xll.AuLiComSetFixture(DmxVersion,A4,B4,C4),"")</f>
        <v>Already exists</v>
      </c>
    </row>
    <row r="5" spans="1:9" x14ac:dyDescent="0.25">
      <c r="A5" s="2" t="s">
        <v>38</v>
      </c>
      <c r="B5" s="2" t="s">
        <v>30</v>
      </c>
      <c r="C5">
        <f t="shared" si="0"/>
        <v>15</v>
      </c>
      <c r="D5" cm="1">
        <f t="array" ref="D5">IF(E5&lt;&gt;"",_xll.AuLiComGetFixtureChannelCount(A5),"")</f>
        <v>1</v>
      </c>
      <c r="E5" s="3" t="str" cm="1">
        <f t="array" ref="E5">IF(AND(A5&lt;&gt;"",B5&lt;&gt;"",C5&lt;&gt;""),_xll.AuLiComSetFixture(DmxVersion,A5,B5,C5),"")</f>
        <v>Already exists</v>
      </c>
    </row>
    <row r="6" spans="1:9" x14ac:dyDescent="0.25">
      <c r="A6" s="2" t="s">
        <v>43</v>
      </c>
      <c r="B6" s="2" t="s">
        <v>44</v>
      </c>
      <c r="C6">
        <f t="shared" si="0"/>
        <v>16</v>
      </c>
      <c r="D6" cm="1">
        <f t="array" ref="D6">IF(E6&lt;&gt;"",_xll.AuLiComGetFixtureChannelCount(A6),"")</f>
        <v>7</v>
      </c>
      <c r="E6" s="3" t="str" cm="1">
        <f t="array" ref="E6">IF(AND(A6&lt;&gt;"",B6&lt;&gt;"",C6&lt;&gt;""),_xll.AuLiComSetFixture(DmxVersion,A6,B6,C6),"")</f>
        <v>Already exists</v>
      </c>
    </row>
    <row r="7" spans="1:9" x14ac:dyDescent="0.25">
      <c r="A7" s="2"/>
      <c r="B7" s="2"/>
      <c r="C7" t="str">
        <f t="shared" si="0"/>
        <v/>
      </c>
      <c r="D7" t="str" cm="1">
        <f t="array" ref="D7">IF(E7&lt;&gt;"",_xll.AuLiComGetFixtureChannelCount(A7),"")</f>
        <v/>
      </c>
      <c r="E7" s="3" t="str" cm="1">
        <f t="array" ref="E7">IF(AND(A7&lt;&gt;"",B7&lt;&gt;"",C7&lt;&gt;""),_xll.AuLiComSetFixture(DmxVersion,A7,B7,C7),"")</f>
        <v/>
      </c>
    </row>
  </sheetData>
  <dataValidations count="1">
    <dataValidation type="list" allowBlank="1" showInputMessage="1" showErrorMessage="1" sqref="B5:B1048576 B2:B3" xr:uid="{6E4A273C-60A9-48C1-B63E-766C2AADA7F0}">
      <formula1>FixtureTypes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EEF7-E907-4ED1-9D6A-FC3151B843B4}">
  <sheetPr codeName="Sheet7"/>
  <dimension ref="A1:C16"/>
  <sheetViews>
    <sheetView workbookViewId="0">
      <selection activeCell="B2" sqref="B2"/>
    </sheetView>
  </sheetViews>
  <sheetFormatPr defaultRowHeight="15" x14ac:dyDescent="0.25"/>
  <cols>
    <col min="1" max="1" width="13.42578125" bestFit="1" customWidth="1"/>
    <col min="2" max="2" width="32.28515625" bestFit="1" customWidth="1"/>
    <col min="3" max="3" width="11" bestFit="1" customWidth="1"/>
  </cols>
  <sheetData>
    <row r="1" spans="1:3" x14ac:dyDescent="0.25">
      <c r="A1" s="14" t="s">
        <v>53</v>
      </c>
      <c r="B1" s="1" t="s">
        <v>52</v>
      </c>
      <c r="C1" s="1" t="s">
        <v>54</v>
      </c>
    </row>
    <row r="2" spans="1:3" x14ac:dyDescent="0.25">
      <c r="A2" t="e" cm="1">
        <f t="array" aca="1" ref="A2" ca="1">_xll.AuLiComGetChaserKinds()</f>
        <v>#NAME?</v>
      </c>
      <c r="B2" t="str" cm="1">
        <f t="array" ref="B2:B7">_xll.AuLiComGetFixtureTypes()</f>
        <v>GenericLamp</v>
      </c>
      <c r="C2" t="str" cm="1">
        <f t="array" ref="C2:C16">_xll.AuLiComGetScenes()</f>
        <v>Blue1</v>
      </c>
    </row>
    <row r="3" spans="1:3" x14ac:dyDescent="0.25">
      <c r="B3" t="str">
        <v>CameoLedBar3Ch2</v>
      </c>
      <c r="C3" t="str">
        <v>Green1</v>
      </c>
    </row>
    <row r="4" spans="1:3" x14ac:dyDescent="0.25">
      <c r="B4" t="str">
        <v>CameoLedBar12Ch</v>
      </c>
      <c r="C4" t="str">
        <v>Blue3</v>
      </c>
    </row>
    <row r="5" spans="1:3" x14ac:dyDescent="0.25">
      <c r="B5" t="str">
        <v>CameoPixBar650CPro3Ch1</v>
      </c>
      <c r="C5" t="str">
        <v>Green3</v>
      </c>
    </row>
    <row r="6" spans="1:3" x14ac:dyDescent="0.25">
      <c r="B6" t="str">
        <v>CameoPixBar650CPro3Ch2</v>
      </c>
      <c r="C6" t="str">
        <v>Blue2</v>
      </c>
    </row>
    <row r="7" spans="1:3" x14ac:dyDescent="0.25">
      <c r="B7" t="str">
        <v>CameoThunderWash600Rgbw7Ch2</v>
      </c>
      <c r="C7" t="str">
        <v>Green2</v>
      </c>
    </row>
    <row r="8" spans="1:3" x14ac:dyDescent="0.25">
      <c r="C8" t="str">
        <v>All</v>
      </c>
    </row>
    <row r="9" spans="1:3" x14ac:dyDescent="0.25">
      <c r="C9" t="str">
        <v>Red1</v>
      </c>
    </row>
    <row r="10" spans="1:3" x14ac:dyDescent="0.25">
      <c r="C10" t="str">
        <v>Blue Only</v>
      </c>
    </row>
    <row r="11" spans="1:3" x14ac:dyDescent="0.25">
      <c r="C11" t="str">
        <v>Red3</v>
      </c>
    </row>
    <row r="12" spans="1:3" x14ac:dyDescent="0.25">
      <c r="C12" t="str">
        <v>Mixed</v>
      </c>
    </row>
    <row r="13" spans="1:3" x14ac:dyDescent="0.25">
      <c r="C13" t="str">
        <v>Red2</v>
      </c>
    </row>
    <row r="14" spans="1:3" x14ac:dyDescent="0.25">
      <c r="C14" t="str">
        <v>Black</v>
      </c>
    </row>
    <row r="15" spans="1:3" x14ac:dyDescent="0.25">
      <c r="C15" t="str">
        <v>Red Only</v>
      </c>
    </row>
    <row r="16" spans="1:3" x14ac:dyDescent="0.25">
      <c r="C16" t="str">
        <v>Green Only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Scene Definition</vt:lpstr>
      <vt:lpstr>Scene Player</vt:lpstr>
      <vt:lpstr>Chasers</vt:lpstr>
      <vt:lpstr>Fixtures</vt:lpstr>
      <vt:lpstr>Parameters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2023-08-14T17:24:40Z</dcterms:modified>
</cp:coreProperties>
</file>