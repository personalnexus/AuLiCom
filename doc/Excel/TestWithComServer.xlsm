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349" documentId="8_{33E53E1F-A3F6-4075-900F-54641BCFD3E8}" xr6:coauthVersionLast="47" xr6:coauthVersionMax="47" xr10:uidLastSave="{5046DF29-E100-4C7D-8099-1EBAB4DEB4EA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FixtureTypes">OFFSET(Fixtures!$A$1,1,0,COUNTA(Fixtures!$A:$A)-1)</definedName>
    <definedName name="SelectedPort">Overview!$A$8</definedName>
    <definedName name="Status">Overview!$A$9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G5" i="3" s="1" a="1"/>
  <c r="G5" i="3" s="1"/>
  <c r="F5" i="3" s="1" a="1"/>
  <c r="F5" i="3" s="1"/>
  <c r="E6" i="3"/>
  <c r="G6" i="3" s="1" a="1"/>
  <c r="G6" i="3" s="1"/>
  <c r="F6" i="3" s="1" a="1"/>
  <c r="F6" i="3" s="1"/>
  <c r="E7" i="3"/>
  <c r="G7" i="3" s="1" a="1"/>
  <c r="G7" i="3" s="1"/>
  <c r="F7" i="3" s="1" a="1"/>
  <c r="F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C7" i="1" a="1"/>
  <c r="D5" i="2" a="1"/>
  <c r="A9" i="1" a="1"/>
  <c r="F5" i="2" a="1"/>
  <c r="G2" i="3" a="1"/>
  <c r="A5" i="1" a="1"/>
  <c r="E4" i="1" a="1"/>
  <c r="A2" i="3" a="1"/>
  <c r="C5" i="2" a="1"/>
  <c r="B20" i="2" a="1"/>
  <c r="E5" i="2" a="1"/>
  <c r="A16" i="1" a="1"/>
  <c r="I7" i="1" a="1"/>
  <c r="I11" i="1" a="1"/>
  <c r="A24" i="2" a="1"/>
  <c r="I13" i="1" a="1"/>
  <c r="I9" i="1" a="1"/>
  <c r="I10" i="1" a="1"/>
  <c r="I8" i="1" a="1"/>
  <c r="I14" i="1" a="1"/>
  <c r="I12" i="1" a="1"/>
  <c r="I15" i="1" a="1"/>
  <c r="C7" i="1" l="1"/>
  <c r="A24" i="2"/>
  <c r="E4" i="1"/>
  <c r="G2" i="3"/>
  <c r="A9" i="1"/>
  <c r="A16" i="1"/>
  <c r="D5" i="2"/>
  <c r="C5" i="2"/>
  <c r="A2" i="3"/>
  <c r="I15" i="1"/>
  <c r="I14" i="1"/>
  <c r="K14" i="1" s="1" a="1"/>
  <c r="I13" i="1"/>
  <c r="K13" i="1" s="1" a="1"/>
  <c r="F5" i="2"/>
  <c r="E5" i="2"/>
  <c r="B20" i="2"/>
  <c r="A5" i="1"/>
  <c r="I10" i="1"/>
  <c r="I12" i="1"/>
  <c r="I8" i="1"/>
  <c r="I11" i="1"/>
  <c r="K11" i="1" s="1" a="1"/>
  <c r="I9" i="1"/>
  <c r="I7" i="1"/>
  <c r="F2" i="3" a="1"/>
  <c r="K8" i="1" a="1"/>
  <c r="K9" i="1" a="1"/>
  <c r="K12" i="1" a="1"/>
  <c r="K7" i="1" a="1"/>
  <c r="K10" i="1" a="1"/>
  <c r="K15" i="1" a="1"/>
  <c r="F2" i="3" l="1"/>
  <c r="E3" i="3" s="1"/>
  <c r="K14" i="1"/>
  <c r="K9" i="1"/>
  <c r="K10" i="1"/>
  <c r="K13" i="1"/>
  <c r="K11" i="1"/>
  <c r="K7" i="1"/>
  <c r="K15" i="1"/>
  <c r="K8" i="1"/>
  <c r="K12" i="1"/>
  <c r="G3" i="3" a="1"/>
  <c r="G3" i="3" l="1"/>
  <c r="G4" i="3" a="1"/>
  <c r="F3" i="3" a="1"/>
  <c r="F3" i="3" l="1"/>
  <c r="G4" i="3"/>
  <c r="F4" i="3" s="1" a="1"/>
  <c r="F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<sst xmlns="http://schemas.openxmlformats.org/spreadsheetml/2006/main" count="48" uniqueCount="45">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</sst>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K1" sqref="K1"/>
    </sheetView>
  </sheetViews>
  <sheetFormatPr defaultRowHeight="15" x14ac:dyDescent="0.25"/>
  <cols>
    <col min="1" max="1" width="18.85546875" bestFit="1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42</v>
      </c>
      <c r="E1" s="1" t="s">
        <v>10</v>
      </c>
      <c r="I1" t="s">
        <v>30</v>
      </c>
      <c r="J1" s="2">
        <v>100</v>
      </c>
      <c r="K1" s="2" t="b">
        <v>0</v>
      </c>
    </row>
    <row r="2" spans="1:12" x14ac:dyDescent="0.25">
      <c r="G2" s="1"/>
    </row>
    <row r="3" spans="1:12" x14ac:dyDescent="0.25">
      <c r="A3" s="1" t="s">
        <v>15</v>
      </c>
      <c r="C3" s="1" t="s">
        <v>43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C4" s="10"/>
      <c r="E4" t="str" cm="1">
        <f t="array" ref="E4:H16">_xll.AuLiComGetFixtureChannelInfos()</f>
        <v>LED Bar</v>
      </c>
      <c r="F4" t="str">
        <v>CameoLedBar12Ch</v>
      </c>
      <c r="G4" t="str">
        <v>Ignore1</v>
      </c>
      <c r="H4">
        <v>1</v>
      </c>
      <c r="K4"/>
    </row>
    <row r="5" spans="1:12" x14ac:dyDescent="0.25">
      <c r="A5" s="3" cm="1">
        <f t="array" ref="A5">_xll.AuLiComSetTimer(A4)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K5"/>
    </row>
    <row r="6" spans="1:12" x14ac:dyDescent="0.25">
      <c r="C6" s="1" t="s">
        <v>44</v>
      </c>
      <c r="E6" t="str">
        <v>LED Bar</v>
      </c>
      <c r="F6" t="str">
        <v>CameoLedBar12Ch</v>
      </c>
      <c r="G6" t="str">
        <v>Ignore3</v>
      </c>
      <c r="H6">
        <v>3</v>
      </c>
      <c r="K6"/>
    </row>
    <row r="7" spans="1:12" x14ac:dyDescent="0.25">
      <c r="A7" s="1" t="s">
        <v>18</v>
      </c>
      <c r="C7" s="9" t="str" cm="1">
        <f t="array" ref="C7">IF(C4="","no command",_xll.AuLiComExecuteCommand(C4))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 cm="1">
        <f t="array" aca="1" ref="I7" ca="1">_xll.AuLiComGetChannelValue(H7)</f>
        <v>0</v>
      </c>
      <c r="J7" s="2">
        <v>83</v>
      </c>
      <c r="K7" s="3" t="str" cm="1">
        <f t="array" aca="1" ref="K7" ca="1">IF(AND(ChannelManualMode,J7*ChannelMaster%&lt;&gt;I7),_xll.AuLiComSetChannelValue(H7,J7*ChannelMaster%),"")</f>
        <v/>
      </c>
    </row>
    <row r="8" spans="1:12" x14ac:dyDescent="0.25">
      <c r="A8" s="2" t="s">
        <v>19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 cm="1">
        <f t="array" aca="1" ref="I8" ca="1">_xll.AuLiComGetChannelValue(H8)</f>
        <v>0</v>
      </c>
      <c r="J8" s="2">
        <v>83</v>
      </c>
      <c r="K8" s="3" t="str" cm="1">
        <f t="array" aca="1" ref="K8" ca="1">IF(AND(ChannelManualMode,J8*ChannelMaster%&lt;&gt;I8),_xll.AuLiComSetChannelValue(H8,J8*ChannelMaster%),"")</f>
        <v/>
      </c>
    </row>
    <row r="9" spans="1:12" x14ac:dyDescent="0.25">
      <c r="A9" s="3" t="str" cm="1">
        <f t="array" ref="A9">_xll.AuLiComCreateDmxConnection(SelectedPort)</f>
        <v>Connected to COM6</v>
      </c>
      <c r="C9" s="9"/>
      <c r="E9" t="str">
        <v>LED Bar</v>
      </c>
      <c r="F9" t="str">
        <v>CameoLedBar12Ch</v>
      </c>
      <c r="G9" t="str">
        <v>Blue1</v>
      </c>
      <c r="H9">
        <v>6</v>
      </c>
      <c r="I9" cm="1">
        <f t="array" aca="1" ref="I9" ca="1">_xll.AuLiComGetChannelValue(H9)</f>
        <v>0</v>
      </c>
      <c r="J9" s="2">
        <v>83</v>
      </c>
      <c r="K9" s="3" t="str" cm="1">
        <f t="array" aca="1" ref="K9" ca="1">IF(AND(ChannelManualMode,J9*ChannelMaster%&lt;&gt;I9),_xll.AuLiComSetChannelValue(H9,J9*ChannelMaster%),"")</f>
        <v/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 cm="1">
        <f t="array" aca="1" ref="I10" ca="1">_xll.AuLiComGetChannelValue(H10)</f>
        <v>0</v>
      </c>
      <c r="J10" s="2">
        <v>83</v>
      </c>
      <c r="K10" s="3" t="str" cm="1">
        <f t="array" aca="1" ref="K10" ca="1">IF(AND(ChannelManualMode,J10*ChannelMaster%&lt;&gt;I10),_xll.AuLiComSetChannelValue(H10,J10*ChannelMaster%),"")</f>
        <v/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 cm="1">
        <f t="array" aca="1" ref="I11" ca="1">_xll.AuLiComGetChannelValue(H11)</f>
        <v>0</v>
      </c>
      <c r="J11" s="2">
        <v>83</v>
      </c>
      <c r="K11" s="3" t="str" cm="1">
        <f t="array" aca="1" ref="K11" ca="1">IF(AND(ChannelManualMode,J11*ChannelMaster%&lt;&gt;I11),_xll.AuLiComSetChannelValue(H11,J11*ChannelMaster%),"")</f>
        <v/>
      </c>
    </row>
    <row r="12" spans="1:12" x14ac:dyDescent="0.25">
      <c r="C12" s="9"/>
      <c r="E12" t="str">
        <v>LED Bar</v>
      </c>
      <c r="F12" t="str">
        <v>CameoLedBar12Ch</v>
      </c>
      <c r="G12" t="str">
        <v>Blue2</v>
      </c>
      <c r="H12">
        <v>9</v>
      </c>
      <c r="I12" cm="1">
        <f t="array" aca="1" ref="I12" ca="1">_xll.AuLiComGetChannelValue(H12)</f>
        <v>0</v>
      </c>
      <c r="J12" s="2">
        <v>83</v>
      </c>
      <c r="K12" s="3" t="str" cm="1">
        <f t="array" aca="1" ref="K12" ca="1">IF(AND(ChannelManualMode,J12*ChannelMaster%&lt;&gt;I12),_xll.AuLiComSetChannelValue(H12,J12*ChannelMaster%),"")</f>
        <v/>
      </c>
    </row>
    <row r="13" spans="1:12" x14ac:dyDescent="0.25">
      <c r="C13" s="9"/>
      <c r="E13" t="str">
        <v>LED Bar</v>
      </c>
      <c r="F13" t="str">
        <v>CameoLedBar12Ch</v>
      </c>
      <c r="G13" t="str">
        <v>Red3</v>
      </c>
      <c r="H13">
        <v>10</v>
      </c>
      <c r="I13" cm="1">
        <f t="array" aca="1" ref="I13" ca="1">_xll.AuLiComGetChannelValue(H13)</f>
        <v>0</v>
      </c>
      <c r="J13" s="2">
        <v>83</v>
      </c>
      <c r="K13" s="3" t="str" cm="1">
        <f t="array" aca="1" ref="K13" ca="1">IF(AND(ChannelManualMode,J13*ChannelMaster%&lt;&gt;I13),_xll.AuLiComSetChannelValue(H13,J13*ChannelMaster%),"")</f>
        <v/>
      </c>
    </row>
    <row r="14" spans="1:12" x14ac:dyDescent="0.25">
      <c r="C14" s="9"/>
      <c r="E14" t="str">
        <v>LED Bar</v>
      </c>
      <c r="F14" t="str">
        <v>CameoLedBar12Ch</v>
      </c>
      <c r="G14" t="str">
        <v>Green3</v>
      </c>
      <c r="H14">
        <v>11</v>
      </c>
      <c r="I14" cm="1">
        <f t="array" aca="1" ref="I14" ca="1">_xll.AuLiComGetChannelValue(H14)</f>
        <v>0</v>
      </c>
      <c r="J14" s="2">
        <v>83</v>
      </c>
      <c r="K14" s="3" t="str" cm="1">
        <f t="array" aca="1" ref="K14" ca="1">IF(AND(ChannelManualMode,J14*ChannelMaster%&lt;&gt;I14),_xll.AuLiComSetChannelValue(H14,J14*ChannelMaster%),"")</f>
        <v/>
      </c>
    </row>
    <row r="15" spans="1:12" x14ac:dyDescent="0.25">
      <c r="A15" s="4" t="s">
        <v>0</v>
      </c>
      <c r="C15" s="9"/>
      <c r="E15" t="str">
        <v>LED Bar</v>
      </c>
      <c r="F15" t="str">
        <v>CameoLedBar12Ch</v>
      </c>
      <c r="G15" t="str">
        <v>Blue3</v>
      </c>
      <c r="H15">
        <v>12</v>
      </c>
      <c r="I15" cm="1">
        <f t="array" aca="1" ref="I15" ca="1">_xll.AuLiComGetChannelValue(H15)</f>
        <v>0</v>
      </c>
      <c r="J15" s="2">
        <v>83</v>
      </c>
      <c r="K15" s="3" t="str" cm="1">
        <f t="array" aca="1" ref="K15" ca="1">IF(AND(ChannelManualMode,J15*ChannelMaster%&lt;&gt;I15),_xll.AuLiComSetChannelValue(H15,J15*ChannelMaster%),"")</f>
        <v/>
      </c>
    </row>
    <row r="16" spans="1:12" x14ac:dyDescent="0.25">
      <c r="A16" s="3" t="e" cm="1">
        <f t="array" ref="A16">_xll.AuLiComGetDmxPorts(TRUE)</f>
        <v>#VALUE!</v>
      </c>
      <c r="C16" s="9"/>
      <c r="E16" t="str">
        <v>Lamp1</v>
      </c>
      <c r="F16" t="str">
        <v>GenericLamp</v>
      </c>
      <c r="G16" t="str">
        <v>Intensity</v>
      </c>
      <c r="H16">
        <v>13</v>
      </c>
    </row>
    <row r="17" spans="1:3" x14ac:dyDescent="0.25">
      <c r="A17" s="3"/>
      <c r="C17" s="9"/>
    </row>
    <row r="18" spans="1:3" x14ac:dyDescent="0.25">
      <c r="A18" s="3"/>
      <c r="C18" s="9"/>
    </row>
    <row r="19" spans="1:3" x14ac:dyDescent="0.25">
      <c r="C19" s="9"/>
    </row>
    <row r="20" spans="1:3" x14ac:dyDescent="0.25">
      <c r="C20" s="9"/>
    </row>
    <row r="21" spans="1:3" x14ac:dyDescent="0.25">
      <c r="C21" s="9"/>
    </row>
    <row r="22" spans="1:3" x14ac:dyDescent="0.25">
      <c r="C22" s="9"/>
    </row>
    <row r="23" spans="1:3" x14ac:dyDescent="0.25">
      <c r="C23" s="9"/>
    </row>
    <row r="24" spans="1:3" x14ac:dyDescent="0.25">
      <c r="C24" s="9"/>
    </row>
    <row r="25" spans="1:3" x14ac:dyDescent="0.25">
      <c r="C25" s="9"/>
    </row>
    <row r="26" spans="1:3" x14ac:dyDescent="0.25">
      <c r="C26" s="9"/>
    </row>
    <row r="27" spans="1:3" x14ac:dyDescent="0.25">
      <c r="C27" s="9"/>
    </row>
    <row r="28" spans="1:3" x14ac:dyDescent="0.25">
      <c r="C28" s="9"/>
    </row>
    <row r="29" spans="1:3" x14ac:dyDescent="0.25">
      <c r="C29" s="9"/>
    </row>
    <row r="30" spans="1:3" x14ac:dyDescent="0.25">
      <c r="C30" s="9"/>
    </row>
    <row r="31" spans="1:3" x14ac:dyDescent="0.25">
      <c r="C31" s="9"/>
    </row>
    <row r="32" spans="1:3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4"/>
  <sheetViews>
    <sheetView workbookViewId="0">
      <selection activeCell="A24" sqref="A24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11" t="s">
        <v>24</v>
      </c>
      <c r="B1" s="11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11" t="s">
        <v>25</v>
      </c>
      <c r="B2" s="11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ref="C5">_xll.AuLiComCreateScene(C1,$B$6:$B$14,C6:C14)</f>
        <v>Mixed</v>
      </c>
      <c r="D5" s="3" t="str" cm="1">
        <f t="array" ref="D5">_xll.AuLiComCreateScene(D1,$B$6:$B$14,D6:D14)</f>
        <v>Red Only</v>
      </c>
      <c r="E5" s="3" t="str" cm="1">
        <f t="array" ref="E5">_xll.AuLiComCreateScene(E1,$B$6:$B$14,E6:E14)</f>
        <v>Black</v>
      </c>
      <c r="F5" s="3" t="str" cm="1">
        <f t="array" ref="F5">_xll.AuLiComCreateScene(F1,$B$6:$B$14,F6:F14)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2" t="s">
        <v>21</v>
      </c>
      <c r="B15" s="12"/>
      <c r="C15" s="2"/>
      <c r="D15" s="2"/>
      <c r="E15" s="2"/>
      <c r="F15" s="2"/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e" cm="1">
        <f t="array" ref="B18">INDEX(1:1,1,_xlfn.XMATCH("X",15:15))</f>
        <v>#N/A</v>
      </c>
    </row>
    <row r="19" spans="1:2" x14ac:dyDescent="0.25">
      <c r="A19" t="s">
        <v>23</v>
      </c>
      <c r="B19" t="e" cm="1">
        <f t="array" ref="B19">INDEX(2:2,1,_xlfn.XMATCH("X",15:15))</f>
        <v>#N/A</v>
      </c>
    </row>
    <row r="20" spans="1:2" x14ac:dyDescent="0.25">
      <c r="B20" s="3" t="e" cm="1">
        <f t="array" ref="B20">_xll.AuLiComSetSingleActiveScene(B18,B19)</f>
        <v>#VALUE!</v>
      </c>
    </row>
    <row r="23" spans="1:2" x14ac:dyDescent="0.25">
      <c r="A23" s="1" t="s">
        <v>26</v>
      </c>
    </row>
    <row r="24" spans="1:2" x14ac:dyDescent="0.25">
      <c r="A24" t="e" cm="1">
        <f t="array" aca="1" ref="A24" ca="1">_xll.AuLiComGetScenes()</f>
        <v>#VALUE!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G3" sqref="G3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140625" bestFit="1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IF(AND(C2&lt;&gt;"",D2&lt;&gt;"",E2&lt;&gt;""),_xll.AuLiComCreateFixture(C2,D2,E2),"")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IF(AND(C3&lt;&gt;"",D3&lt;&gt;"",E3&lt;&gt;""),_xll.AuLiComCreateFixture(C3,D3,E3),"")</f>
        <v>Already exists</v>
      </c>
    </row>
    <row r="4" spans="1:11" x14ac:dyDescent="0.25">
      <c r="A4" t="str">
        <v>CameoLedBar12Ch</v>
      </c>
      <c r="C4" s="2"/>
      <c r="D4" s="2"/>
      <c r="E4" t="str">
        <f t="shared" ref="E4:E7" si="0">IF(AND(C4&lt;&gt;"",D4&lt;&gt;""),E3+F3,"")</f>
        <v/>
      </c>
      <c r="F4" t="str" cm="1">
        <f t="array" ref="F4">IF(G4&lt;&gt;"",_xll.AuLiComGetFixtureChannelCount(C4),"")</f>
        <v/>
      </c>
      <c r="G4" s="3" t="str" cm="1">
        <f t="array" ref="G4">IF(AND(C4&lt;&gt;"",D4&lt;&gt;"",E4&lt;&gt;""),_xll.AuLiComCreateFixture(C4,D4,E4),"")</f>
        <v/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IF(G5&lt;&gt;"",_xll.AuLiComGetFixtureChannelCount(C5),"")</f>
        <v/>
      </c>
      <c r="G5" s="3" t="str" cm="1">
        <f t="array" ref="G5">IF(AND(C5&lt;&gt;"",D5&lt;&gt;"",E5&lt;&gt;""),_xll.AuLiComCreateFixture(C5,D5,E5),"")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IF(AND(C6&lt;&gt;"",D6&lt;&gt;"",E6&lt;&gt;""),_xll.AuLiComCreateFixture(C6,D6,E6),"")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IF(AND(C7&lt;&gt;"",D7&lt;&gt;"",E7&lt;&gt;""),_xll.AuLiComCreateFixture(C7,D7,E7),"")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Overview</vt:lpstr>
      <vt:lpstr>Scenes</vt:lpstr>
      <vt:lpstr>Fixtures</vt:lpstr>
      <vt:lpstr>ChannelManualMode</vt:lpstr>
      <vt:lpstr>ChannelMaster</vt:lpstr>
      <vt:lpstr>SelectedPort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2023-06-28T18:37:27Z</dcterms:modified>
</cp:coreProperties>
</file>