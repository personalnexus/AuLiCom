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565" documentId="8_{33E53E1F-A3F6-4075-900F-54641BCFD3E8}" xr6:coauthVersionLast="47" xr6:coauthVersionMax="47" xr10:uidLastSave="{5ABE3D31-D57C-4785-B568-F3C9BC7100FC}"/>
  <bookViews>
    <workbookView xWindow="-120" yWindow="-120" windowWidth="38640" windowHeight="21240" xr2:uid="{AB2CF87F-81B4-4088-AE2E-2820582A8761}"/>
  </bookViews>
  <sheets>
    <sheet name="Overview" sheetId="1" r:id="rId1"/>
    <sheet name="Fixture Definition" sheetId="3" r:id="rId2"/>
    <sheet name="Color Definition" sheetId="9" r:id="rId3"/>
    <sheet name="Scene Definition" sheetId="2" r:id="rId4"/>
    <sheet name="Channels" sheetId="8" r:id="rId5"/>
    <sheet name="Scene Player" sheetId="4" r:id="rId6"/>
    <sheet name="Chasers" sheetId="5" r:id="rId7"/>
  </sheets>
  <functionGroups builtInGroupCount="19"/>
  <definedNames>
    <definedName name="ChannelLevelAndColorSuggestions">OFFSET(Overview!$C$2,0,0,COUNTA(Overview!$C:$C)-1)</definedName>
    <definedName name="ChannelLevels">OFFSET(Overview!$D$2,0,0,COUNTA(Overview!$D:$D)-1)</definedName>
    <definedName name="ChannelManualMode">Channels!$I$1</definedName>
    <definedName name="ChannelMaster">Channels!$H$1</definedName>
    <definedName name="ChannelsVersion">Overview!$A$6</definedName>
    <definedName name="ChaserKinds">OFFSET(Overview!$F$2,0,0,COUNTA(Overview!$F:$F)-1)</definedName>
    <definedName name="ColorNames">OFFSET(Overview!$E$2,0,0,COUNTA(Overview!$E:$E)-1)</definedName>
    <definedName name="DmxVersion">Overview!$A$3</definedName>
    <definedName name="FixturesVersion">Overview!$A$4</definedName>
    <definedName name="FixtureTypes">OFFSET(Overview!$G$2,0,0,COUNTA(Overview!$G:$G)-1)</definedName>
    <definedName name="SceneNames">OFFSET(Overview!$H$2,0,0,COUNTA(Overview!$H:$H)-1)</definedName>
    <definedName name="ScenesVersion">Overview!$A$5</definedName>
    <definedName name="SelectedPort">Overview!$A$2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9" l="1" a="1"/>
  <c r="H1" i="9" s="1"/>
  <c r="H8" i="9" s="1" a="1"/>
  <c r="H8" i="9" s="1"/>
  <c r="I14" i="1" a="1"/>
  <c r="I14" i="1" s="1"/>
  <c r="I15" i="1" a="1"/>
  <c r="I15" i="1" s="1"/>
  <c r="I16" i="1" a="1"/>
  <c r="I16" i="1" s="1"/>
  <c r="Q1" i="2" a="1"/>
  <c r="Q1" i="2" s="1"/>
  <c r="R1" i="2" a="1"/>
  <c r="R1" i="2" s="1"/>
  <c r="S1" i="2" a="1"/>
  <c r="S1" i="2" s="1"/>
  <c r="E2" i="1" a="1"/>
  <c r="F2" i="1" a="1"/>
  <c r="G2" i="1" a="1"/>
  <c r="C1" i="9" a="1"/>
  <c r="D1" i="9" a="1"/>
  <c r="F1" i="9" a="1"/>
  <c r="A3" i="1" a="1"/>
  <c r="G1" i="9" a="1"/>
  <c r="B1" i="9" a="1"/>
  <c r="E1" i="9" a="1"/>
  <c r="H2" i="1" a="1"/>
  <c r="A7" i="1" a="1"/>
  <c r="A4" i="2" a="1"/>
  <c r="P1" i="2" a="1"/>
  <c r="O1" i="2" a="1"/>
  <c r="H1" i="2" a="1"/>
  <c r="N1" i="2" a="1"/>
  <c r="G1" i="2" a="1"/>
  <c r="E1" i="2" a="1"/>
  <c r="J1" i="2" a="1"/>
  <c r="L1" i="2" a="1"/>
  <c r="F1" i="2" a="1"/>
  <c r="K1" i="2" a="1"/>
  <c r="I1" i="2" a="1"/>
  <c r="M1" i="2" a="1"/>
  <c r="E2" i="1" l="1"/>
  <c r="G1" i="9"/>
  <c r="F1" i="9"/>
  <c r="C2" i="1" a="1"/>
  <c r="C2" i="1" s="1"/>
  <c r="A3" i="1"/>
  <c r="E1" i="9"/>
  <c r="D1" i="9"/>
  <c r="A7" i="1"/>
  <c r="C1" i="9"/>
  <c r="B1" i="9"/>
  <c r="P1" i="2"/>
  <c r="O1" i="2"/>
  <c r="K1" i="2"/>
  <c r="G1" i="2"/>
  <c r="N1" i="2"/>
  <c r="M1" i="2"/>
  <c r="I1" i="2"/>
  <c r="L1" i="2"/>
  <c r="J1" i="2"/>
  <c r="H1" i="2"/>
  <c r="F1" i="2"/>
  <c r="E1" i="2"/>
  <c r="G2" i="1"/>
  <c r="H2" i="1"/>
  <c r="A4" i="2"/>
  <c r="F2" i="1"/>
  <c r="I7" i="1" a="1"/>
  <c r="I10" i="1" a="1"/>
  <c r="I8" i="1" a="1"/>
  <c r="I3" i="1" a="1"/>
  <c r="I11" i="1" a="1"/>
  <c r="I2" i="1" a="1"/>
  <c r="I6" i="1" a="1"/>
  <c r="I5" i="1" a="1"/>
  <c r="I13" i="1" a="1"/>
  <c r="I12" i="1" a="1"/>
  <c r="I9" i="1" a="1"/>
  <c r="I4" i="1" a="1"/>
  <c r="F8" i="9" a="1"/>
  <c r="C8" i="9" a="1"/>
  <c r="E8" i="9" a="1"/>
  <c r="B8" i="9" a="1"/>
  <c r="D8" i="9" a="1"/>
  <c r="G8" i="9" a="1"/>
  <c r="C4" i="8" a="1"/>
  <c r="I10" i="8" a="1"/>
  <c r="I28" i="8" a="1"/>
  <c r="I37" i="8" a="1"/>
  <c r="I29" i="8" a="1"/>
  <c r="I38" i="8" a="1"/>
  <c r="I7" i="8" a="1"/>
  <c r="I5" i="8" a="1"/>
  <c r="I27" i="8" a="1"/>
  <c r="I19" i="8" a="1"/>
  <c r="I15" i="8" a="1"/>
  <c r="I54" i="8" a="1"/>
  <c r="I23" i="8" a="1"/>
  <c r="I22" i="8" a="1"/>
  <c r="I48" i="8" a="1"/>
  <c r="I14" i="8" a="1"/>
  <c r="I43" i="8" a="1"/>
  <c r="I36" i="8" a="1"/>
  <c r="I26" i="8" a="1"/>
  <c r="I47" i="8" a="1"/>
  <c r="I32" i="8" a="1"/>
  <c r="I31" i="8" a="1"/>
  <c r="I41" i="8" a="1"/>
  <c r="I21" i="8" a="1"/>
  <c r="I33" i="8" a="1"/>
  <c r="I42" i="8" a="1"/>
  <c r="I6" i="8" a="1"/>
  <c r="I25" i="8" a="1"/>
  <c r="I30" i="8" a="1"/>
  <c r="I12" i="8" a="1"/>
  <c r="I34" i="8" a="1"/>
  <c r="I17" i="8" a="1"/>
  <c r="I40" i="8" a="1"/>
  <c r="I44" i="8" a="1"/>
  <c r="I45" i="8" a="1"/>
  <c r="I8" i="8" a="1"/>
  <c r="I16" i="8" a="1"/>
  <c r="I9" i="8" a="1"/>
  <c r="I52" i="8" a="1"/>
  <c r="I51" i="8" a="1"/>
  <c r="I11" i="8" a="1"/>
  <c r="I50" i="8" a="1"/>
  <c r="I53" i="8" a="1"/>
  <c r="I4" i="8" a="1"/>
  <c r="I49" i="8" a="1"/>
  <c r="I13" i="8" a="1"/>
  <c r="I46" i="8" a="1"/>
  <c r="I39" i="8" a="1"/>
  <c r="I20" i="8" a="1"/>
  <c r="I35" i="8" a="1"/>
  <c r="I18" i="8" a="1"/>
  <c r="I24" i="8" a="1"/>
  <c r="G8" i="9" l="1"/>
  <c r="F8" i="9"/>
  <c r="E8" i="9"/>
  <c r="D8" i="9"/>
  <c r="C8" i="9"/>
  <c r="B8" i="9"/>
  <c r="I9" i="1"/>
  <c r="I12" i="1"/>
  <c r="I11" i="1"/>
  <c r="I13" i="1"/>
  <c r="I8" i="1"/>
  <c r="I10" i="1"/>
  <c r="I3" i="1"/>
  <c r="I6" i="1"/>
  <c r="I5" i="1"/>
  <c r="I7" i="1"/>
  <c r="I4" i="1"/>
  <c r="I2" i="1"/>
  <c r="I51" i="8"/>
  <c r="I54" i="8"/>
  <c r="I53" i="8"/>
  <c r="I50" i="8"/>
  <c r="I49" i="8"/>
  <c r="I52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B6" i="5" a="1"/>
  <c r="AB5" i="5" a="1"/>
  <c r="AB4" i="5" a="1"/>
  <c r="G4" i="8" a="1"/>
  <c r="AB6" i="5" l="1"/>
  <c r="G4" i="8"/>
  <c r="AB5" i="5"/>
  <c r="AB4" i="5"/>
  <c r="A12" i="1" a="1"/>
  <c r="A5" i="1" a="1"/>
  <c r="A2" i="4" a="1"/>
  <c r="A4" i="1" a="1"/>
  <c r="A6" i="1" a="1"/>
  <c r="A12" i="1" l="1"/>
  <c r="A4" i="1"/>
  <c r="A2" i="4"/>
  <c r="A5" i="1"/>
  <c r="A6" i="1"/>
  <c r="F37" i="3" a="1"/>
  <c r="F14" i="3" a="1"/>
  <c r="F15" i="3" a="1"/>
  <c r="F34" i="3" a="1"/>
  <c r="F21" i="3" a="1"/>
  <c r="F11" i="3" a="1"/>
  <c r="F20" i="3" a="1"/>
  <c r="F17" i="3" a="1"/>
  <c r="F33" i="3" a="1"/>
  <c r="F39" i="3" a="1"/>
  <c r="F30" i="3" a="1"/>
  <c r="F19" i="3" a="1"/>
  <c r="F8" i="3" a="1"/>
  <c r="F25" i="3" a="1"/>
  <c r="F7" i="3" a="1"/>
  <c r="F4" i="3" a="1"/>
  <c r="F5" i="3" a="1"/>
  <c r="F23" i="3" a="1"/>
  <c r="A7" i="8" a="1"/>
  <c r="F2" i="3" a="1"/>
  <c r="F29" i="3" a="1"/>
  <c r="F6" i="3" a="1"/>
  <c r="F36" i="3" a="1"/>
  <c r="F32" i="3" a="1"/>
  <c r="F27" i="3" a="1"/>
  <c r="F13" i="3" a="1"/>
  <c r="F35" i="3" a="1"/>
  <c r="F28" i="3" a="1"/>
  <c r="F12" i="3" a="1"/>
  <c r="F22" i="3" a="1"/>
  <c r="F38" i="3" a="1"/>
  <c r="F9" i="3" a="1"/>
  <c r="F10" i="3" a="1"/>
  <c r="F26" i="3" a="1"/>
  <c r="F18" i="3" a="1"/>
  <c r="F3" i="3" a="1"/>
  <c r="F16" i="3" a="1"/>
  <c r="F31" i="3" a="1"/>
  <c r="F24" i="3" a="1"/>
  <c r="A7" i="8" l="1"/>
  <c r="F22" i="3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4" i="3" a="1"/>
  <c r="D33" i="3" a="1"/>
  <c r="D5" i="3" a="1"/>
  <c r="D25" i="3" a="1"/>
  <c r="D27" i="3" a="1"/>
  <c r="D7" i="3" a="1"/>
  <c r="D6" i="3" a="1"/>
  <c r="D29" i="3" a="1"/>
  <c r="D38" i="3" a="1"/>
  <c r="D35" i="3" a="1"/>
  <c r="D8" i="3" a="1"/>
  <c r="D17" i="3" a="1"/>
  <c r="D2" i="3" a="1"/>
  <c r="D20" i="3" a="1"/>
  <c r="D11" i="3" a="1"/>
  <c r="D31" i="3" a="1"/>
  <c r="D10" i="3" a="1"/>
  <c r="D3" i="3" a="1"/>
  <c r="D26" i="3" a="1"/>
  <c r="D15" i="3" a="1"/>
  <c r="D30" i="3" a="1"/>
  <c r="D36" i="3" a="1"/>
  <c r="D12" i="3" a="1"/>
  <c r="D37" i="3" a="1"/>
  <c r="D14" i="3" a="1"/>
  <c r="D23" i="3" a="1"/>
  <c r="D18" i="3" a="1"/>
  <c r="D13" i="3" a="1"/>
  <c r="D21" i="3" a="1"/>
  <c r="D32" i="3" a="1"/>
  <c r="D19" i="3" a="1"/>
  <c r="D9" i="3" a="1"/>
  <c r="D34" i="3" a="1"/>
  <c r="D28" i="3" a="1"/>
  <c r="D22" i="3" a="1"/>
  <c r="D16" i="3" a="1"/>
  <c r="D24" i="3" a="1"/>
  <c r="D39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<sst xmlns="http://schemas.openxmlformats.org/spreadsheetml/2006/main" count="161" uniqueCount="111">
  <si>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</si>
  <si>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</si>
  <si>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</si>
  <si>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</si>
  <si>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</si>
  <si>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</si>
  <si>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</si>
  <si>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</si>
  <si>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</si>
  <si>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</si>
  <si>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</si>
  <si>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</si>
  <si>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</si>
  <si>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</si>
  <si>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</si>
  <si>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</si>
  <si>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</si>
  <si>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</si>
  <si>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</si>
  <si>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</si>
  <si>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</si>
  <si>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</si>
  <si>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</si>
  <si>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</si>
  <si>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</si>
  <si>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</si>
  <si>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</si>
  <si>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</si>
  <si>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</si>
  <si>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</si>
  <si>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</si>
  <si>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</si>
  <si>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</si>
  <si>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</si>
  <si>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</si>
  <si>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</si>
  <si>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</si>
  <si>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</si>
  <si>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</si>
  <si>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</si>
  <si>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</si>
  <si>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</si>
  <si>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</si>
  <si>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</si>
  <si>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</si>
  <si>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</si>
  <si>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</si>
  <si>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</si>
  <si>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</si>
  <si>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</si>
  <si>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</si>
  <si>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</si>
  <si>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</si>
  <si>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</si>
  <si>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</si>
  <si>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</si>
  <si>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</si>
  <si>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</si>
  <si>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</si>
  <si>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</si>
  <si>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</si>
  <si>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</si>
  <si>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</si>
  <si>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</si>
  <si>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</si>
  <si>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</si>
  <si>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</si>
  <si>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</si>
  <si>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</si>
  <si>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</si>
  <si>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</si>
  <si>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</si>
  <si>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</si>
  <si>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</si>
  <si>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</si>
  <si>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</si>
  <si>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</si>
  <si>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</si>
  <si>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</si>
  <si>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</si>
  <si>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</si>
  <si>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</si>
  <si>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</si>
  <si>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</si>
  <si>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</si>
  <si>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</si>
  <si>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</si>
  <si>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</si>
  <si>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</si>
  <si>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</si>
  <si>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</si>
  <si>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</si>
  <si>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</si>
  <si>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</si>
  <si>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</si>
  <si>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</si>
  <si>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</si>
  <si>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</si>
  <si>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</si>
  <si>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</si>
  <si>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</si>
  <si>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</si>
  <si>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</si>
  <si>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</si>
  <si>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Dark Blue</t>
  </si>
  <si>
    <t>Light Blue</t>
  </si>
  <si>
    <t>DMX6</t>
  </si>
  <si>
    <t>clear</t>
  </si>
  <si>
    <t>COLORS</t>
  </si>
  <si>
    <t>CHANNEL LEVELS</t>
  </si>
  <si>
    <t>CHANNEL LEVEL AND COLOR SUGGESTIONS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</si>
</sst>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C4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c728fe08b920404fafcf0ce0c751ad3c">
      <tp>
        <v>9</v>
        <stp/>
        <stp>88a1a642-cf0b-4dea-81f2-e18ec90f27a4</stp>
        <tr r="I9" s="1"/>
      </tp>
      <tp>
        <v>9</v>
        <stp/>
        <stp>ae0f3124-1085-40ab-ac65-fbeb1d137b15</stp>
        <tr r="I7" s="1"/>
      </tp>
      <tp>
        <v>9</v>
        <stp/>
        <stp>d04e0a67-5c56-4c62-851f-502bc928d8d6</stp>
        <tr r="I2" s="1"/>
      </tp>
    </main>
    <main first="rtdsrv_c728fe08b920404fafcf0ce0c751ad3c">
      <tp>
        <v>9</v>
        <stp/>
        <stp>2cdd0abf-2583-4f08-a405-5f2c29ff5068</stp>
        <tr r="I13" s="1"/>
      </tp>
      <tp>
        <v>9</v>
        <stp/>
        <stp>19519fe9-caa6-4765-bc90-acad8b5fac18</stp>
        <tr r="I4" s="1"/>
      </tp>
    </main>
    <main first="rtdsrv_c728fe08b920404fafcf0ce0c751ad3c">
      <tp>
        <v>263</v>
        <stp/>
        <stp>e286c950-2c60-4d55-a1cb-112cf65c056a</stp>
        <tr r="A6" s="1"/>
      </tp>
      <tp>
        <v>159</v>
        <stp/>
        <stp>ff8ba0a0-4b06-4e04-84e0-8bb8455d19fc</stp>
        <tr r="G4" s="8"/>
      </tp>
    </main>
    <main first="rtdsrv_c728fe08b920404fafcf0ce0c751ad3c">
      <tp>
        <v>39</v>
        <stp/>
        <stp>2198a47c-875e-49ae-bb73-de3841dd4bd5</stp>
        <tr r="A4" s="1"/>
      </tp>
      <tp>
        <v>9</v>
        <stp/>
        <stp>c39d35de-aff9-44d0-81a2-c4399b49a96f</stp>
        <tr r="I6" s="1"/>
      </tp>
    </main>
    <main first="rtdsrv_c728fe08b920404fafcf0ce0c751ad3c">
      <tp>
        <v>9</v>
        <stp/>
        <stp>19f05994-9287-4e22-bcd7-80ef1bf4293c</stp>
        <tr r="I8" s="1"/>
      </tp>
      <tp>
        <v>9</v>
        <stp/>
        <stp>7e0767c7-4ead-41a3-b92b-af404034f451</stp>
        <tr r="I11" s="1"/>
      </tp>
      <tp>
        <v>9</v>
        <stp/>
        <stp>844743e1-31f5-42a2-a13d-e0682e12de51</stp>
        <tr r="I3" s="1"/>
      </tp>
    </main>
    <main first="rtdsrv_c728fe08b920404fafcf0ce0c751ad3c">
      <tp>
        <v>26</v>
        <stp/>
        <stp>2fd4a345-6b29-428b-b471-b2fae3f9911d</stp>
        <tr r="A5" s="1"/>
      </tp>
    </main>
    <main first="rtdsrv_c728fe08b920404fafcf0ce0c751ad3c">
      <tp>
        <v>7</v>
        <stp/>
        <stp>faa3a695-0ca0-41eb-baca-de36d47c6086</stp>
        <tr r="A7" s="1"/>
      </tp>
      <tp>
        <v>7</v>
        <stp/>
        <stp>feb68607-e5d8-4432-8d1b-dc0d9dc615a1</stp>
        <tr r="E2" s="1"/>
      </tp>
    </main>
    <main first="rtdsrv_c728fe08b920404fafcf0ce0c751ad3c">
      <tp>
        <v>39</v>
        <stp/>
        <stp>45dcfb33-7a0d-4926-89b0-f79fb228010b</stp>
        <tr r="G4" s="8"/>
        <tr r="M1" s="2"/>
        <tr r="M1" s="2"/>
        <tr r="I1" s="2"/>
        <tr r="I1" s="2"/>
        <tr r="K1" s="2"/>
        <tr r="K1" s="2"/>
        <tr r="F1" s="2"/>
        <tr r="F1" s="2"/>
        <tr r="L1" s="2"/>
        <tr r="L1" s="2"/>
        <tr r="J1" s="2"/>
        <tr r="J1" s="2"/>
        <tr r="E1" s="2"/>
        <tr r="E1" s="2"/>
        <tr r="G1" s="2"/>
        <tr r="G1" s="2"/>
        <tr r="N1" s="2"/>
        <tr r="N1" s="2"/>
        <tr r="H1" s="2"/>
        <tr r="H1" s="2"/>
        <tr r="O1" s="2"/>
        <tr r="O1" s="2"/>
        <tr r="P1" s="2"/>
        <tr r="P1" s="2"/>
      </tp>
    </main>
    <main first="rtdsrv_c728fe08b920404fafcf0ce0c751ad3c">
      <tp>
        <v>39</v>
        <stp/>
        <stp>d433d9a2-3eb9-43dd-9914-597a3667ef4f</stp>
        <tr r="C4" s="8"/>
        <tr r="A4" s="2"/>
      </tp>
    </main>
    <main first="rtdsrv_c728fe08b920404fafcf0ce0c751ad3c">
      <tp>
        <v>26</v>
        <stp/>
        <stp>66c242ab-1773-44b4-b4d0-6bd2b9716620</stp>
        <tr r="A2" s="4"/>
        <tr r="H2" s="1"/>
      </tp>
    </main>
    <main first="rtdsrv_c728fe08b920404fafcf0ce0c751ad3c">
      <tp>
        <v>9</v>
        <stp/>
        <stp>128ff970-28d3-4fb5-8a47-76e3f3b084a8</stp>
        <tr r="I10" s="1"/>
      </tp>
    </main>
    <main first="rtdsrv_c728fe08b920404fafcf0ce0c751ad3c">
      <tp>
        <v>9</v>
        <stp/>
        <stp>967ed263-6557-4375-b564-03d49913d1b5</stp>
        <tr r="I12" s="1"/>
      </tp>
      <tp>
        <v>9</v>
        <stp/>
        <stp>34848f7d-0872-4fa4-9777-8fac2908c518</stp>
        <tr r="I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LED@dark%20blue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O18"/>
  <sheetViews>
    <sheetView tabSelected="1" workbookViewId="0">
      <selection activeCell="E2" sqref="E2"/>
    </sheetView>
  </sheetViews>
  <sheetFormatPr defaultRowHeight="15" x14ac:dyDescent="0.25"/>
  <cols>
    <col min="1" max="1" width="21.7109375" customWidth="1"/>
    <col min="3" max="3" width="39.85546875" bestFit="1" customWidth="1"/>
    <col min="4" max="4" width="16" bestFit="1" customWidth="1"/>
    <col min="5" max="5" width="11.28515625" customWidth="1"/>
    <col min="6" max="6" width="13.7109375" bestFit="1" customWidth="1"/>
    <col min="7" max="7" width="33.28515625" bestFit="1" customWidth="1"/>
    <col min="8" max="8" width="7.5703125" bestFit="1" customWidth="1"/>
    <col min="9" max="9" width="5.5703125" bestFit="1" customWidth="1"/>
  </cols>
  <sheetData>
    <row r="1" spans="1:15" x14ac:dyDescent="0.25">
      <c r="A1" s="1" t="s">
        <v>93</v>
      </c>
      <c r="B1" s="1"/>
      <c r="C1" s="1" t="s">
        <v>110</v>
      </c>
      <c r="D1" s="1" t="s">
        <v>109</v>
      </c>
      <c r="E1" s="1" t="s">
        <v>108</v>
      </c>
      <c r="F1" s="11" t="s">
        <v>91</v>
      </c>
      <c r="G1" s="1" t="s">
        <v>92</v>
      </c>
      <c r="H1" s="1" t="s">
        <v>95</v>
      </c>
    </row>
    <row r="2" spans="1:15" x14ac:dyDescent="0.25">
      <c r="A2" s="2" t="s">
        <v>106</v>
      </c>
      <c r="C2" cm="1">
        <f t="array" aca="1" ref="C2:C18" ca="1">_xlfn.VSTACK(ChannelLevels,ColorNames)</f>
        <v>0</v>
      </c>
      <c r="D2">
        <v>0</v>
      </c>
      <c r="E2" t="str" cm="1">
        <f t="array" ref="E2:E7">_xlfn._xlws.SORT(_xll.AuLiComGetColors())</f>
        <v>Dark Blue</v>
      </c>
      <c r="F2" t="str" cm="1">
        <f t="array" ref="F2:F5">_xll.AuLiComGetChaserTypes()</f>
        <v>Once</v>
      </c>
      <c r="G2" t="str" cm="1">
        <f t="array" ref="G2:G16">_xlfn._xlws.SORT(_xll.AuLiComGetFixtureTypes())</f>
        <v>AriaPc</v>
      </c>
      <c r="H2" t="str" cm="1">
        <f t="array" ref="H2:H13">_xlfn._xlws.SORT(_xll.AuLiComGetScenes())</f>
        <v>Blue1</v>
      </c>
      <c r="I2" t="str" cm="1">
        <f t="array" ref="I2">IF(H2="","",_xll.AuLiComGetSceneChannelPercentages(H2))</f>
        <v>45@100</v>
      </c>
    </row>
    <row r="3" spans="1:15" x14ac:dyDescent="0.25">
      <c r="A3" s="3" t="str" cm="1">
        <f t="array" ref="A3">_xll.AuLiComSetDmxConnection(SelectedPort)</f>
        <v>DMX:COM6</v>
      </c>
      <c r="C3">
        <f ca="1"/>
        <v>10</v>
      </c>
      <c r="D3">
        <v>10</v>
      </c>
      <c r="E3" t="str">
        <v>Green</v>
      </c>
      <c r="F3" t="str">
        <v>Loop</v>
      </c>
      <c r="G3" t="str">
        <v>CameoLedBar_12Ch</v>
      </c>
      <c r="H3" t="str">
        <v>Blue2</v>
      </c>
      <c r="I3" t="str" cm="1">
        <f t="array" ref="I3">IF(H3="","",_xll.AuLiComGetSceneChannelPercentages(H3))</f>
        <v>48@100</v>
      </c>
      <c r="O3" s="1"/>
    </row>
    <row r="4" spans="1:15" x14ac:dyDescent="0.25">
      <c r="A4" s="3" t="str" cm="1">
        <f t="array" ref="A4">"FIXTURES:"&amp;_xll.AuLiComGetFixturesVersion()</f>
        <v>FIXTURES:38</v>
      </c>
      <c r="C4">
        <f ca="1"/>
        <v>20</v>
      </c>
      <c r="D4">
        <v>20</v>
      </c>
      <c r="E4" t="str">
        <v>Light Blue</v>
      </c>
      <c r="F4" t="str">
        <v>BackAndForth</v>
      </c>
      <c r="G4" t="str">
        <v>CameoLedBar_3Ch2</v>
      </c>
      <c r="H4" t="str">
        <v>Blue3</v>
      </c>
      <c r="I4" t="str" cm="1">
        <f t="array" ref="I4">IF(H4="","",_xll.AuLiComGetSceneChannelPercentages(H4))</f>
        <v>51@100</v>
      </c>
    </row>
    <row r="5" spans="1:15" x14ac:dyDescent="0.25">
      <c r="A5" s="3" t="str" cm="1">
        <f t="array" ref="A5">"SCENES:"&amp;_xll.AuLiComGetScenesVersion()</f>
        <v>SCENES:25</v>
      </c>
      <c r="C5">
        <f ca="1"/>
        <v>30</v>
      </c>
      <c r="D5">
        <v>30</v>
      </c>
      <c r="E5" t="str">
        <v>Orange</v>
      </c>
      <c r="F5" t="str">
        <v>Random</v>
      </c>
      <c r="G5" t="str">
        <v>CameoPixBar650CPro_3Ch1</v>
      </c>
      <c r="H5" t="str">
        <v>Blue4</v>
      </c>
      <c r="I5" t="str" cm="1">
        <f t="array" ref="I5">IF(H5="","",_xll.AuLiComGetSceneChannelPercentages(H5))</f>
        <v>54@100</v>
      </c>
    </row>
    <row r="6" spans="1:15" x14ac:dyDescent="0.25">
      <c r="A6" s="3" t="str" cm="1">
        <f t="array" ref="A6">"CHANNELS:"&amp;_xll.AuLiComGetChannelsVersion()</f>
        <v>CHANNELS:313</v>
      </c>
      <c r="C6">
        <f ca="1"/>
        <v>40</v>
      </c>
      <c r="D6">
        <v>40</v>
      </c>
      <c r="E6" t="str">
        <v>Pink</v>
      </c>
      <c r="G6" t="str">
        <v>CameoPixBar650CPro_3Ch2</v>
      </c>
      <c r="H6" t="str">
        <v>Green1</v>
      </c>
      <c r="I6" t="str" cm="1">
        <f t="array" ref="I6">IF(H6="","",_xll.AuLiComGetSceneChannelPercentages(H6))</f>
        <v>44@100</v>
      </c>
    </row>
    <row r="7" spans="1:15" x14ac:dyDescent="0.25">
      <c r="A7" s="3" t="str" cm="1">
        <f t="array" ref="A7">"COLORS:"&amp;_xll.AuLiComGetColorsVersion(Dmx)</f>
        <v>COLORS:6</v>
      </c>
      <c r="C7">
        <f ca="1"/>
        <v>50</v>
      </c>
      <c r="D7">
        <v>50</v>
      </c>
      <c r="E7" t="str">
        <v>Red</v>
      </c>
      <c r="G7" t="str">
        <v>CameoThunderWash600Rgbw_7Ch2</v>
      </c>
      <c r="H7" t="str">
        <v>Green2</v>
      </c>
      <c r="I7" t="str" cm="1">
        <f t="array" ref="I7">IF(H7="","",_xll.AuLiComGetSceneChannelPercentages(H7))</f>
        <v>47@100</v>
      </c>
    </row>
    <row r="8" spans="1:15" x14ac:dyDescent="0.25">
      <c r="C8">
        <f ca="1"/>
        <v>60</v>
      </c>
      <c r="D8">
        <v>60</v>
      </c>
      <c r="G8" t="str">
        <v>CantataPc</v>
      </c>
      <c r="H8" t="str">
        <v>Green3</v>
      </c>
      <c r="I8" t="str" cm="1">
        <f t="array" ref="I8">IF(H8="","",_xll.AuLiComGetSceneChannelPercentages(H8))</f>
        <v>50@100</v>
      </c>
    </row>
    <row r="9" spans="1:15" x14ac:dyDescent="0.25">
      <c r="C9">
        <f ca="1"/>
        <v>70</v>
      </c>
      <c r="D9">
        <v>70</v>
      </c>
      <c r="G9" t="str">
        <v>CantataProfiler</v>
      </c>
      <c r="H9" t="str">
        <v>Green4</v>
      </c>
      <c r="I9" t="str" cm="1">
        <f t="array" ref="I9">IF(H9="","",_xll.AuLiComGetSceneChannelPercentages(H9))</f>
        <v>53@100</v>
      </c>
    </row>
    <row r="10" spans="1:15" x14ac:dyDescent="0.25">
      <c r="A10" s="4" t="s">
        <v>0</v>
      </c>
      <c r="C10">
        <f ca="1"/>
        <v>80</v>
      </c>
      <c r="D10">
        <v>80</v>
      </c>
      <c r="G10" t="str">
        <v>ElationKl4Fresnel_1Ch</v>
      </c>
      <c r="H10" t="str">
        <v>Red1</v>
      </c>
      <c r="I10" t="str" cm="1">
        <f t="array" ref="I10">IF(H10="","",_xll.AuLiComGetSceneChannelPercentages(H10))</f>
        <v>43@100</v>
      </c>
    </row>
    <row r="11" spans="1:15" x14ac:dyDescent="0.25">
      <c r="A11" s="3" t="s">
        <v>19</v>
      </c>
      <c r="C11">
        <f ca="1"/>
        <v>90</v>
      </c>
      <c r="D11">
        <v>90</v>
      </c>
      <c r="G11" t="str">
        <v>GenericLamp</v>
      </c>
      <c r="H11" t="str">
        <v>Red2</v>
      </c>
      <c r="I11" t="str" cm="1">
        <f t="array" ref="I11">IF(H11="","",_xll.AuLiComGetSceneChannelPercentages(H11))</f>
        <v>46@100</v>
      </c>
    </row>
    <row r="12" spans="1:15" x14ac:dyDescent="0.25">
      <c r="A12" s="3" t="e" cm="1">
        <f t="array" ref="A12">_xll.AuLiComGetDmxPorts(TRUE)</f>
        <v>#VALUE!</v>
      </c>
      <c r="C12">
        <f ca="1"/>
        <v>100</v>
      </c>
      <c r="D12">
        <v>100</v>
      </c>
      <c r="G12" t="str">
        <v>OtherPc</v>
      </c>
      <c r="H12" t="str">
        <v>Red3</v>
      </c>
      <c r="I12" t="str" cm="1">
        <f t="array" ref="I12">IF(H12="","",_xll.AuLiComGetSceneChannelPercentages(H12))</f>
        <v>49@100</v>
      </c>
    </row>
    <row r="13" spans="1:15" x14ac:dyDescent="0.25">
      <c r="C13" t="str">
        <f ca="1"/>
        <v>Dark Blue</v>
      </c>
      <c r="G13" t="str">
        <v>Par56Silver</v>
      </c>
      <c r="H13" t="str">
        <v>Red4</v>
      </c>
      <c r="I13" t="str" cm="1">
        <f t="array" ref="I13">IF(H13="","",_xll.AuLiComGetSceneChannelPercentages(H13))</f>
        <v>52@100</v>
      </c>
    </row>
    <row r="14" spans="1:15" x14ac:dyDescent="0.25">
      <c r="C14" t="str">
        <f ca="1"/>
        <v>Green</v>
      </c>
      <c r="G14" t="str">
        <v>Par64</v>
      </c>
      <c r="I14" t="str" cm="1">
        <f t="array" ref="I14">IF(H14="","",_xll.AuLiComGetSceneChannelPercentages(H14))</f>
        <v/>
      </c>
    </row>
    <row r="15" spans="1:15" x14ac:dyDescent="0.25">
      <c r="C15" t="str">
        <f ca="1"/>
        <v>Light Blue</v>
      </c>
      <c r="G15" t="str">
        <v>Profiler</v>
      </c>
      <c r="I15" t="str" cm="1">
        <f t="array" ref="I15">IF(H15="","",_xll.AuLiComGetSceneChannelPercentages(H15))</f>
        <v/>
      </c>
    </row>
    <row r="16" spans="1:15" x14ac:dyDescent="0.25">
      <c r="A16" s="3"/>
      <c r="C16" t="str">
        <f ca="1"/>
        <v>Orange</v>
      </c>
      <c r="G16" t="str">
        <v>Quartz</v>
      </c>
      <c r="I16" t="str" cm="1">
        <f t="array" ref="I16">IF(H16="","",_xll.AuLiComGetSceneChannelPercentages(H16))</f>
        <v/>
      </c>
    </row>
    <row r="17" spans="1:3" x14ac:dyDescent="0.25">
      <c r="A17" s="4"/>
      <c r="C17" t="str">
        <f ca="1"/>
        <v>Pink</v>
      </c>
    </row>
    <row r="18" spans="1:3" x14ac:dyDescent="0.25">
      <c r="C18" t="str">
        <f ca="1"/>
        <v>Red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>
      <selection activeCell="B3" sqref="B3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2</v>
      </c>
      <c r="B1" s="1" t="s">
        <v>12</v>
      </c>
      <c r="C1" s="1" t="s">
        <v>13</v>
      </c>
      <c r="D1" s="1" t="s">
        <v>14</v>
      </c>
      <c r="E1" s="1" t="s">
        <v>82</v>
      </c>
      <c r="F1" s="1"/>
      <c r="J1" s="1"/>
    </row>
    <row r="2" spans="1:10" x14ac:dyDescent="0.25">
      <c r="A2" s="2" t="s">
        <v>49</v>
      </c>
      <c r="B2" s="2" t="s">
        <v>37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39</v>
      </c>
      <c r="B3" s="2" t="s">
        <v>38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50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51</v>
      </c>
      <c r="B5" s="2" t="s">
        <v>52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53</v>
      </c>
      <c r="B6" s="2" t="s">
        <v>54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40</v>
      </c>
      <c r="B7" s="2" t="s">
        <v>55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41</v>
      </c>
      <c r="B8" s="2" t="s">
        <v>55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56</v>
      </c>
      <c r="B9" s="2" t="s">
        <v>57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58</v>
      </c>
      <c r="B10" s="2" t="s">
        <v>57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59</v>
      </c>
      <c r="B11" s="2" t="s">
        <v>57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60</v>
      </c>
      <c r="B12" s="2" t="s">
        <v>57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61</v>
      </c>
      <c r="B13" s="2" t="s">
        <v>57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62</v>
      </c>
      <c r="B14" s="2" t="s">
        <v>37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63</v>
      </c>
      <c r="B15" s="2" t="s">
        <v>52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64</v>
      </c>
      <c r="B16" s="2" t="s">
        <v>37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65</v>
      </c>
      <c r="B17" s="2" t="s">
        <v>52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66</v>
      </c>
      <c r="B18" s="2" t="s">
        <v>84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25">
      <c r="A19" s="2" t="s">
        <v>67</v>
      </c>
      <c r="B19" s="2" t="s">
        <v>84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25">
      <c r="A20" s="2" t="s">
        <v>68</v>
      </c>
      <c r="B20" s="2" t="s">
        <v>84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25">
      <c r="A21" s="2" t="s">
        <v>69</v>
      </c>
      <c r="B21" s="2" t="s">
        <v>52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25">
      <c r="A22" s="2" t="s">
        <v>70</v>
      </c>
      <c r="B22" s="2" t="s">
        <v>84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25">
      <c r="A23" s="2" t="s">
        <v>71</v>
      </c>
      <c r="B23" s="2" t="s">
        <v>37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72</v>
      </c>
      <c r="B24" s="2" t="s">
        <v>52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73</v>
      </c>
      <c r="B25" s="2" t="s">
        <v>37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75</v>
      </c>
      <c r="B26" s="2" t="s">
        <v>74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42</v>
      </c>
      <c r="B27" s="2" t="s">
        <v>85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25">
      <c r="A28" s="2" t="s">
        <v>43</v>
      </c>
      <c r="B28" s="2" t="s">
        <v>37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44</v>
      </c>
      <c r="B29" s="2" t="s">
        <v>37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45</v>
      </c>
      <c r="B30" s="2" t="s">
        <v>37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46</v>
      </c>
      <c r="B31" s="2" t="s">
        <v>37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47</v>
      </c>
      <c r="B32" s="2" t="s">
        <v>37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48</v>
      </c>
      <c r="B33" s="2" t="s">
        <v>37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77</v>
      </c>
      <c r="B34" s="2" t="s">
        <v>52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77</v>
      </c>
      <c r="B35" s="2" t="s">
        <v>76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78</v>
      </c>
      <c r="B36" s="2" t="s">
        <v>83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79</v>
      </c>
      <c r="B37" s="2" t="s">
        <v>83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80</v>
      </c>
      <c r="B38" s="2" t="s">
        <v>83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81</v>
      </c>
      <c r="B39" s="2" t="s">
        <v>83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/>
  <dimension ref="A1:H8"/>
  <sheetViews>
    <sheetView workbookViewId="0">
      <selection activeCell="G5" sqref="G5"/>
    </sheetView>
  </sheetViews>
  <sheetFormatPr defaultRowHeight="15" x14ac:dyDescent="0.25"/>
  <cols>
    <col min="1" max="1" width="19.7109375" customWidth="1"/>
  </cols>
  <sheetData>
    <row r="1" spans="1:8" s="3" customFormat="1" x14ac:dyDescent="0.25">
      <c r="A1" s="13" t="s">
        <v>102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>Green</v>
      </c>
      <c r="G1" s="3" t="str" cm="1">
        <f t="array" ref="G1">IF(G3="",
       "",
       IF(COUNTIF(3:3,G3)&gt;1,
             "Color Name must be unique",
             _xll.AuLiComSetColor(G3,G4,G5,G6)))</f>
        <v>Red</v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25">
      <c r="B2" s="1" t="s">
        <v>101</v>
      </c>
    </row>
    <row r="3" spans="1:8" x14ac:dyDescent="0.25">
      <c r="A3" t="s">
        <v>2</v>
      </c>
      <c r="B3" s="12" t="s">
        <v>99</v>
      </c>
      <c r="C3" s="12" t="s">
        <v>103</v>
      </c>
      <c r="D3" s="12" t="s">
        <v>104</v>
      </c>
      <c r="E3" s="12" t="s">
        <v>105</v>
      </c>
      <c r="F3" s="12" t="s">
        <v>97</v>
      </c>
      <c r="G3" s="12" t="s">
        <v>96</v>
      </c>
      <c r="H3" s="12"/>
    </row>
    <row r="4" spans="1:8" x14ac:dyDescent="0.25">
      <c r="A4" t="s">
        <v>96</v>
      </c>
      <c r="B4" s="2">
        <v>100</v>
      </c>
      <c r="C4" s="2">
        <v>100</v>
      </c>
      <c r="D4" s="2">
        <v>0</v>
      </c>
      <c r="E4" s="2">
        <v>0</v>
      </c>
      <c r="F4" s="2">
        <v>0</v>
      </c>
      <c r="G4" s="2">
        <v>99</v>
      </c>
      <c r="H4" s="2"/>
    </row>
    <row r="5" spans="1:8" x14ac:dyDescent="0.25">
      <c r="A5" t="s">
        <v>97</v>
      </c>
      <c r="B5" s="2">
        <v>50</v>
      </c>
      <c r="C5" s="2">
        <v>50</v>
      </c>
      <c r="D5" s="2">
        <v>20</v>
      </c>
      <c r="E5" s="2">
        <v>87</v>
      </c>
      <c r="F5" s="2">
        <v>77</v>
      </c>
      <c r="G5" s="2">
        <v>0</v>
      </c>
      <c r="H5" s="2"/>
    </row>
    <row r="6" spans="1:8" x14ac:dyDescent="0.25">
      <c r="A6" t="s">
        <v>98</v>
      </c>
      <c r="B6" s="2">
        <v>0</v>
      </c>
      <c r="C6" s="2">
        <v>100</v>
      </c>
      <c r="D6" s="2">
        <v>100</v>
      </c>
      <c r="E6" s="2">
        <v>100</v>
      </c>
      <c r="F6" s="2">
        <v>0</v>
      </c>
      <c r="G6" s="2">
        <v>0</v>
      </c>
      <c r="H6" s="2"/>
    </row>
    <row r="8" spans="1:8" s="14" customFormat="1" ht="45" x14ac:dyDescent="0.25">
      <c r="A8" s="15" t="s">
        <v>100</v>
      </c>
      <c r="B8" s="16" t="str" cm="1">
        <f t="array" ref="B8">IF(B1&lt;&gt;"",HYPERLINK(PreviewColor(B8,B4,B5,B6),B3),"")</f>
        <v>Orange</v>
      </c>
      <c r="C8" s="17" t="str" cm="1">
        <f t="array" ref="C8">IF(C1&lt;&gt;"",HYPERLINK(PreviewColor(C8,C4,C5,C6),C3),"")</f>
        <v>Pink</v>
      </c>
      <c r="D8" s="18" t="str" cm="1">
        <f t="array" ref="D8">IF(D1&lt;&gt;"",HYPERLINK(PreviewColor(D8,D4,D5,D6),D3),"")</f>
        <v>Dark Blue</v>
      </c>
      <c r="E8" s="19" t="str" cm="1">
        <f t="array" ref="E8">IF(E1&lt;&gt;"",HYPERLINK(PreviewColor(E8,E4,E5,E6),E3),"")</f>
        <v>Light Blue</v>
      </c>
      <c r="F8" s="20" t="str" cm="1">
        <f t="array" ref="F8">IF(F1&lt;&gt;"",HYPERLINK(PreviewColor(F8,F4,F5,F6),F3),"")</f>
        <v>Green</v>
      </c>
      <c r="G8" s="21" t="str" cm="1">
        <f t="array" ref="G8">IF(G1&lt;&gt;"",HYPERLINK(PreviewColor(G8,G4,G5,G6),G3),"")</f>
        <v>Red</v>
      </c>
      <c r="H8" s="14" t="str" cm="1">
        <f t="array" ref="H8">IF(H1&lt;&gt;"",HYPERLINK(PreviewColor(H8,H4,H5,H6),H3),"")</f>
        <v/>
      </c>
    </row>
  </sheetData>
  <conditionalFormatting sqref="A4:A6 A8">
    <cfRule type="containsText" dxfId="15" priority="1" operator="containsText" text="Intensity">
      <formula>NOT(ISERROR(SEARCH("Intensity",A4)))</formula>
    </cfRule>
    <cfRule type="containsText" dxfId="14" priority="2" operator="containsText" text="Blue">
      <formula>NOT(ISERROR(SEARCH("Blue",A4)))</formula>
    </cfRule>
    <cfRule type="containsText" dxfId="13" priority="3" operator="containsText" text="Green">
      <formula>NOT(ISERROR(SEARCH("Green",A4)))</formula>
    </cfRule>
    <cfRule type="containsText" dxfId="12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Z276"/>
  <sheetViews>
    <sheetView workbookViewId="0">
      <pane ySplit="3" topLeftCell="A20" activePane="bottomLeft" state="frozen"/>
      <selection pane="bottomLeft" activeCell="J55" sqref="J55"/>
    </sheetView>
  </sheetViews>
  <sheetFormatPr defaultRowHeight="15" x14ac:dyDescent="0.25"/>
  <cols>
    <col min="1" max="1" width="24.85546875" bestFit="1" customWidth="1"/>
    <col min="2" max="2" width="8.42578125" customWidth="1"/>
    <col min="3" max="3" width="9.42578125" customWidth="1"/>
    <col min="4" max="4" width="8.28515625" bestFit="1" customWidth="1"/>
    <col min="5" max="19" width="9.42578125" customWidth="1"/>
  </cols>
  <sheetData>
    <row r="1" spans="1:26" x14ac:dyDescent="0.25">
      <c r="C1" s="1"/>
      <c r="D1" s="13" t="s">
        <v>94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_xll.AuLiComSetScene(Q3,OFFSET(P3,1,0,_xll.AuLiComGetFixtureChannelCountTotal(),1),OFFSET(Q3,1,0,_xll.AuLiComGetFixtureChannelCountTotal(),1))))</f>
        <v/>
      </c>
      <c r="R1" s="3" t="str" cm="1">
        <f t="array" aca="1" ref="R1" ca="1">IF(R3="",
       "",
       IF(COUNTIF(3:3,R3)&gt;1,
             "Scene Name must be unique",
             _xll.AuLiComSetScene(R3,OFFSET(Q3,1,0,_xll.AuLiComGetFixtureChannelCountTotal(),1),OFFSET(R3,1,0,_xll.AuLiComGetFixtureChannelCountTotal(),1))))</f>
        <v/>
      </c>
      <c r="S1" s="3" t="str" cm="1">
        <f t="array" aca="1" ref="S1" ca="1">IF(S3="",
       "",
       IF(COUNTIF(3:3,S3)&gt;1,
             "Scene Name must be unique",
             _xll.AuLiComSetScene(S3,OFFSET(R3,1,0,_xll.AuLiComGetFixtureChannelCountTotal(),1),OFFSET(S3,1,0,_xll.AuLiComGetFixtureChannelCountTotal(),1))))</f>
        <v/>
      </c>
    </row>
    <row r="2" spans="1:26" x14ac:dyDescent="0.25">
      <c r="C2" s="5"/>
      <c r="D2" s="5"/>
      <c r="E2" s="1" t="s">
        <v>87</v>
      </c>
    </row>
    <row r="3" spans="1:26" x14ac:dyDescent="0.25">
      <c r="A3" s="1" t="s">
        <v>9</v>
      </c>
      <c r="B3" s="1" t="s">
        <v>12</v>
      </c>
      <c r="C3" s="1" t="s">
        <v>86</v>
      </c>
      <c r="D3" s="1" t="s">
        <v>3</v>
      </c>
      <c r="E3" s="2" t="s">
        <v>26</v>
      </c>
      <c r="F3" s="2" t="s">
        <v>28</v>
      </c>
      <c r="G3" s="2" t="s">
        <v>27</v>
      </c>
      <c r="H3" s="2" t="s">
        <v>88</v>
      </c>
      <c r="I3" s="2" t="s">
        <v>32</v>
      </c>
      <c r="J3" s="2" t="s">
        <v>33</v>
      </c>
      <c r="K3" s="2" t="s">
        <v>34</v>
      </c>
      <c r="L3" s="2" t="s">
        <v>89</v>
      </c>
      <c r="M3" s="2" t="s">
        <v>29</v>
      </c>
      <c r="N3" s="2" t="s">
        <v>30</v>
      </c>
      <c r="O3" s="2" t="s">
        <v>31</v>
      </c>
      <c r="P3" s="2" t="s">
        <v>90</v>
      </c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t="str" cm="1">
        <f t="array" ref="A4:D54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5">
      <c r="A42" t="str">
        <v>Special über der Bühne</v>
      </c>
      <c r="B42" t="str">
        <v>Par64</v>
      </c>
      <c r="C42" t="str">
        <v>Intensity</v>
      </c>
      <c r="D42">
        <v>41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5">
      <c r="A43" t="str">
        <v>LED vorne links</v>
      </c>
      <c r="B43" t="str">
        <v>CameoPixBar650CPro_3Ch1</v>
      </c>
      <c r="C43" t="str">
        <v>Red</v>
      </c>
      <c r="D43">
        <v>43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5">
      <c r="A44" t="str">
        <v>LED vorne links</v>
      </c>
      <c r="B44" t="str">
        <v>CameoPixBar650CPro_3Ch1</v>
      </c>
      <c r="C44" t="str">
        <v>Green</v>
      </c>
      <c r="D44">
        <v>44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5">
      <c r="A45" t="str">
        <v>LED vorne links</v>
      </c>
      <c r="B45" t="str">
        <v>CameoPixBar650CPro_3Ch1</v>
      </c>
      <c r="C45" t="str">
        <v>Blue</v>
      </c>
      <c r="D45">
        <v>45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5">
      <c r="A46" t="str">
        <v>LED vorne rechts</v>
      </c>
      <c r="B46" t="str">
        <v>CameoPixBar650CPro_3Ch1</v>
      </c>
      <c r="C46" t="str">
        <v>Red</v>
      </c>
      <c r="D46">
        <v>46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5">
      <c r="A47" t="str">
        <v>LED vorne rechts</v>
      </c>
      <c r="B47" t="str">
        <v>CameoPixBar650CPro_3Ch1</v>
      </c>
      <c r="C47" t="str">
        <v>Green</v>
      </c>
      <c r="D47">
        <v>47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5">
      <c r="A48" t="str">
        <v>LED vorne rechts</v>
      </c>
      <c r="B48" t="str">
        <v>CameoPixBar650CPro_3Ch1</v>
      </c>
      <c r="C48" t="str">
        <v>Blue</v>
      </c>
      <c r="D48">
        <v>48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5">
      <c r="A49" t="str">
        <v>LED hinten links</v>
      </c>
      <c r="B49" t="str">
        <v>CameoPixBar650CPro_3Ch1</v>
      </c>
      <c r="C49" t="str">
        <v>Red</v>
      </c>
      <c r="D49">
        <v>49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5">
      <c r="A50" t="str">
        <v>LED hinten links</v>
      </c>
      <c r="B50" t="str">
        <v>CameoPixBar650CPro_3Ch1</v>
      </c>
      <c r="C50" t="str">
        <v>Green</v>
      </c>
      <c r="D50">
        <v>50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5">
      <c r="A51" t="str">
        <v>LED hinten links</v>
      </c>
      <c r="B51" t="str">
        <v>CameoPixBar650CPro_3Ch1</v>
      </c>
      <c r="C51" t="str">
        <v>Blue</v>
      </c>
      <c r="D51">
        <v>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5">
      <c r="A52" t="str">
        <v>LED hinten rechts</v>
      </c>
      <c r="B52" t="str">
        <v>CameoPixBar650CPro_3Ch1</v>
      </c>
      <c r="C52" t="str">
        <v>Red</v>
      </c>
      <c r="D52">
        <v>52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5">
      <c r="A53" t="str">
        <v>LED hinten rechts</v>
      </c>
      <c r="B53" t="str">
        <v>CameoPixBar650CPro_3Ch1</v>
      </c>
      <c r="C53" t="str">
        <v>Green</v>
      </c>
      <c r="D53">
        <v>53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5">
      <c r="A54" t="str">
        <v>LED hinten rechts</v>
      </c>
      <c r="B54" t="str">
        <v>CameoPixBar650CPro_3Ch1</v>
      </c>
      <c r="C54" t="str">
        <v>Blue</v>
      </c>
      <c r="D54">
        <v>54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5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5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5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5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5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5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5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5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5:26" x14ac:dyDescent="0.25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5:26" x14ac:dyDescent="0.25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5:26" x14ac:dyDescent="0.25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5:26" x14ac:dyDescent="0.25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5:26" x14ac:dyDescent="0.25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5:26" x14ac:dyDescent="0.25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5:26" x14ac:dyDescent="0.25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5:26" x14ac:dyDescent="0.25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5:26" x14ac:dyDescent="0.25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5:26" x14ac:dyDescent="0.25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5:26" x14ac:dyDescent="0.2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5:26" x14ac:dyDescent="0.2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5:26" x14ac:dyDescent="0.2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5:26" x14ac:dyDescent="0.2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5:26" x14ac:dyDescent="0.2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5:26" x14ac:dyDescent="0.2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5:26" x14ac:dyDescent="0.2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5:26" x14ac:dyDescent="0.2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5:26" x14ac:dyDescent="0.2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5:26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5:26" x14ac:dyDescent="0.2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5:26" x14ac:dyDescent="0.2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5:26" x14ac:dyDescent="0.2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5:26" x14ac:dyDescent="0.2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5:26" x14ac:dyDescent="0.2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5:26" x14ac:dyDescent="0.2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5:26" x14ac:dyDescent="0.2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5:26" x14ac:dyDescent="0.2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5:26" x14ac:dyDescent="0.2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5:26" x14ac:dyDescent="0.2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5:26" x14ac:dyDescent="0.2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5:26" x14ac:dyDescent="0.2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5:26" x14ac:dyDescent="0.2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5:26" x14ac:dyDescent="0.2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5:26" x14ac:dyDescent="0.2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5:26" x14ac:dyDescent="0.2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5:26" x14ac:dyDescent="0.2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5:26" x14ac:dyDescent="0.2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5:26" x14ac:dyDescent="0.2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5:26" x14ac:dyDescent="0.2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5:26" x14ac:dyDescent="0.2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5:26" x14ac:dyDescent="0.2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5:26" x14ac:dyDescent="0.2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5:26" x14ac:dyDescent="0.2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5:26" x14ac:dyDescent="0.2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5:26" x14ac:dyDescent="0.2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5:26" x14ac:dyDescent="0.2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5:26" x14ac:dyDescent="0.2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5:26" x14ac:dyDescent="0.2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5:26" x14ac:dyDescent="0.2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5:26" x14ac:dyDescent="0.2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5:26" x14ac:dyDescent="0.2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5:26" x14ac:dyDescent="0.2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5:26" x14ac:dyDescent="0.2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5:26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5:26" x14ac:dyDescent="0.2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5:26" x14ac:dyDescent="0.2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5:26" x14ac:dyDescent="0.2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5:26" x14ac:dyDescent="0.2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5:26" x14ac:dyDescent="0.2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5:26" x14ac:dyDescent="0.2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5:26" x14ac:dyDescent="0.2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5:26" x14ac:dyDescent="0.2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5:26" x14ac:dyDescent="0.2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5:26" x14ac:dyDescent="0.2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5:26" x14ac:dyDescent="0.2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5:26" x14ac:dyDescent="0.2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5:26" x14ac:dyDescent="0.2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5:26" x14ac:dyDescent="0.2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5:26" x14ac:dyDescent="0.2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5:26" x14ac:dyDescent="0.2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5:26" x14ac:dyDescent="0.2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5:26" x14ac:dyDescent="0.2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5:26" x14ac:dyDescent="0.2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5:26" x14ac:dyDescent="0.2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5:26" x14ac:dyDescent="0.2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5:26" x14ac:dyDescent="0.2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5:26" x14ac:dyDescent="0.2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5:26" x14ac:dyDescent="0.2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5:26" x14ac:dyDescent="0.2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5:26" x14ac:dyDescent="0.2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5:26" x14ac:dyDescent="0.25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5:26" x14ac:dyDescent="0.25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5:26" x14ac:dyDescent="0.25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5:26" x14ac:dyDescent="0.25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5:26" x14ac:dyDescent="0.25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5:26" x14ac:dyDescent="0.25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5:26" x14ac:dyDescent="0.2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5:26" x14ac:dyDescent="0.25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5:26" x14ac:dyDescent="0.25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5:26" x14ac:dyDescent="0.25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5:26" x14ac:dyDescent="0.25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5:26" x14ac:dyDescent="0.2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5:26" x14ac:dyDescent="0.25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5:26" x14ac:dyDescent="0.25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5:26" x14ac:dyDescent="0.2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5:26" x14ac:dyDescent="0.25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5:26" x14ac:dyDescent="0.25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5:26" x14ac:dyDescent="0.25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5:26" x14ac:dyDescent="0.25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5:26" x14ac:dyDescent="0.25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5:26" x14ac:dyDescent="0.25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5:26" x14ac:dyDescent="0.25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5:26" x14ac:dyDescent="0.25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5:26" x14ac:dyDescent="0.25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5:26" x14ac:dyDescent="0.25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5:26" x14ac:dyDescent="0.25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5:26" x14ac:dyDescent="0.25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5:26" x14ac:dyDescent="0.25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5:26" x14ac:dyDescent="0.25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5:26" x14ac:dyDescent="0.25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5:26" x14ac:dyDescent="0.25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5:26" x14ac:dyDescent="0.25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5:26" x14ac:dyDescent="0.25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5:26" x14ac:dyDescent="0.25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5:26" x14ac:dyDescent="0.25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5:26" x14ac:dyDescent="0.25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5:26" x14ac:dyDescent="0.25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5:26" x14ac:dyDescent="0.25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5:26" x14ac:dyDescent="0.25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5:26" x14ac:dyDescent="0.25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5:26" x14ac:dyDescent="0.25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5:26" x14ac:dyDescent="0.25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5:26" x14ac:dyDescent="0.25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5:26" x14ac:dyDescent="0.25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5:26" x14ac:dyDescent="0.25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5:26" x14ac:dyDescent="0.25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5:26" x14ac:dyDescent="0.25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5:26" x14ac:dyDescent="0.25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5:26" x14ac:dyDescent="0.25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5:26" x14ac:dyDescent="0.25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5:26" x14ac:dyDescent="0.25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5:26" x14ac:dyDescent="0.25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5:26" x14ac:dyDescent="0.25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5:26" x14ac:dyDescent="0.25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5:26" x14ac:dyDescent="0.25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5:26" x14ac:dyDescent="0.25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5:26" x14ac:dyDescent="0.25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5:26" x14ac:dyDescent="0.25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5:26" x14ac:dyDescent="0.25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5:26" x14ac:dyDescent="0.25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5:26" x14ac:dyDescent="0.25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5:26" x14ac:dyDescent="0.25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5:26" x14ac:dyDescent="0.25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5:26" x14ac:dyDescent="0.25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5:26" x14ac:dyDescent="0.25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5:26" x14ac:dyDescent="0.25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5:26" x14ac:dyDescent="0.25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5:26" x14ac:dyDescent="0.25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5:26" x14ac:dyDescent="0.25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5:26" x14ac:dyDescent="0.25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5:26" x14ac:dyDescent="0.25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5:26" x14ac:dyDescent="0.25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5:26" x14ac:dyDescent="0.25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5:26" x14ac:dyDescent="0.25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5:26" x14ac:dyDescent="0.25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5:26" x14ac:dyDescent="0.25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5:26" x14ac:dyDescent="0.25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5:26" x14ac:dyDescent="0.25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5:26" x14ac:dyDescent="0.25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5:26" x14ac:dyDescent="0.25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5:26" x14ac:dyDescent="0.25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5:26" x14ac:dyDescent="0.25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5:26" x14ac:dyDescent="0.25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5:26" x14ac:dyDescent="0.25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5:26" x14ac:dyDescent="0.25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5:26" x14ac:dyDescent="0.25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5:26" x14ac:dyDescent="0.25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5:26" x14ac:dyDescent="0.25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5:26" x14ac:dyDescent="0.25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5:26" x14ac:dyDescent="0.25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5:26" x14ac:dyDescent="0.25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5:26" x14ac:dyDescent="0.25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5:26" x14ac:dyDescent="0.25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5:26" x14ac:dyDescent="0.25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5:26" x14ac:dyDescent="0.25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5:26" x14ac:dyDescent="0.25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5:26" x14ac:dyDescent="0.25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5:26" x14ac:dyDescent="0.25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5:26" x14ac:dyDescent="0.25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5:26" x14ac:dyDescent="0.25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5:26" x14ac:dyDescent="0.25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5:26" x14ac:dyDescent="0.25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5:26" x14ac:dyDescent="0.25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5:26" x14ac:dyDescent="0.25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5:26" x14ac:dyDescent="0.25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5:26" x14ac:dyDescent="0.25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5:26" x14ac:dyDescent="0.25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5:26" x14ac:dyDescent="0.25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5:26" x14ac:dyDescent="0.25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5:26" x14ac:dyDescent="0.2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5:26" x14ac:dyDescent="0.2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5:26" x14ac:dyDescent="0.2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5:26" x14ac:dyDescent="0.2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5:26" x14ac:dyDescent="0.2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5:26" x14ac:dyDescent="0.2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5:26" x14ac:dyDescent="0.2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5:26" x14ac:dyDescent="0.2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5:26" x14ac:dyDescent="0.2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5:26" x14ac:dyDescent="0.2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5:26" x14ac:dyDescent="0.2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5:26" x14ac:dyDescent="0.2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5:26" x14ac:dyDescent="0.2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5:26" x14ac:dyDescent="0.2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5:26" x14ac:dyDescent="0.2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5:26" x14ac:dyDescent="0.2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5:26" x14ac:dyDescent="0.2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5:26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5:26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5:26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5:26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5:26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dataValidations count="1">
    <dataValidation type="list" allowBlank="1" sqref="E3:Z276" xr:uid="{FA1D8069-285C-41F3-9A98-58E4C0BB395D}">
      <formula1>ChannelLevelAndColorSuggestions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workbookViewId="0">
      <selection activeCell="I31" sqref="I31"/>
    </sheetView>
  </sheetViews>
  <sheetFormatPr defaultRowHeight="15" x14ac:dyDescent="0.25"/>
  <cols>
    <col min="1" max="1" width="29.7109375" customWidth="1"/>
    <col min="2" max="2" width="25.85546875" customWidth="1"/>
    <col min="3" max="3" width="24.85546875" bestFit="1" customWidth="1"/>
    <col min="4" max="4" width="33.28515625" bestFit="1" customWidth="1"/>
    <col min="5" max="5" width="14.140625" bestFit="1" customWidth="1"/>
    <col min="6" max="6" width="8.28515625" bestFit="1" customWidth="1"/>
    <col min="7" max="7" width="17.140625" customWidth="1"/>
    <col min="8" max="8" width="14.28515625" bestFit="1" customWidth="1"/>
    <col min="9" max="9" width="22.140625" style="3" bestFit="1" customWidth="1"/>
  </cols>
  <sheetData>
    <row r="1" spans="1:9" x14ac:dyDescent="0.2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25">
      <c r="E2" s="1"/>
    </row>
    <row r="3" spans="1:9" x14ac:dyDescent="0.2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25">
      <c r="A4" s="7" t="s">
        <v>107</v>
      </c>
      <c r="C4" t="str" cm="1">
        <f t="array" ref="C4:F54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4" ca="1">_xll.AuLiComGetChannelValues(OFFSET($F$4,0,0,_xll.AuLiComGetFixtureChannelCountTotal(),1))</f>
        <v>0</v>
      </c>
      <c r="H4" s="2">
        <v>0</v>
      </c>
      <c r="I4" s="3" cm="1">
        <f t="array" ref="I4">IF(ChannelManualMode,_xll.AuLiComSetChannelValue(F4,H4*ChannelMaster%),"")</f>
        <v>1</v>
      </c>
    </row>
    <row r="5" spans="1:9" x14ac:dyDescent="0.25"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IF(ChannelManualMode,_xll.AuLiComSetChannelValue(F5,H5*ChannelMaster%),"")</f>
        <v>2</v>
      </c>
    </row>
    <row r="6" spans="1:9" x14ac:dyDescent="0.2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IF(ChannelManualMode,_xll.AuLiComSetChannelValue(F6,H6*ChannelMaster%),"")</f>
        <v>3</v>
      </c>
    </row>
    <row r="7" spans="1:9" x14ac:dyDescent="0.25">
      <c r="A7" s="6" t="str" cm="1">
        <f t="array" ref="A7">IF(A4="","no command",_xll.AuLiComExecuteCommand(DmxVersion,A4))</f>
        <v>DONE.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IF(ChannelManualMode,_xll.AuLiComSetChannelValue(F7,H7*ChannelMaster%),"")</f>
        <v>4</v>
      </c>
    </row>
    <row r="8" spans="1:9" x14ac:dyDescent="0.2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IF(ChannelManualMode,_xll.AuLiComSetChannelValue(F8,H8*ChannelMaster%),"")</f>
        <v>5</v>
      </c>
    </row>
    <row r="9" spans="1:9" x14ac:dyDescent="0.2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IF(ChannelManualMode,_xll.AuLiComSetChannelValue(F9,H9*ChannelMaster%),"")</f>
        <v>6</v>
      </c>
    </row>
    <row r="10" spans="1:9" x14ac:dyDescent="0.2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IF(ChannelManualMode,_xll.AuLiComSetChannelValue(F10,H10*ChannelMaster%),"")</f>
        <v>7</v>
      </c>
    </row>
    <row r="11" spans="1:9" x14ac:dyDescent="0.2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IF(ChannelManualMode,_xll.AuLiComSetChannelValue(F11,H11*ChannelMaster%),"")</f>
        <v>8</v>
      </c>
    </row>
    <row r="12" spans="1:9" x14ac:dyDescent="0.2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IF(ChannelManualMode,_xll.AuLiComSetChannelValue(F12,H12*ChannelMaster%),"")</f>
        <v>9</v>
      </c>
    </row>
    <row r="13" spans="1:9" x14ac:dyDescent="0.2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IF(ChannelManualMode,_xll.AuLiComSetChannelValue(F13,H13*ChannelMaster%),"")</f>
        <v>10</v>
      </c>
    </row>
    <row r="14" spans="1:9" x14ac:dyDescent="0.2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IF(ChannelManualMode,_xll.AuLiComSetChannelValue(F14,H14*ChannelMaster%),"")</f>
        <v>11</v>
      </c>
    </row>
    <row r="15" spans="1:9" x14ac:dyDescent="0.2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IF(ChannelManualMode,_xll.AuLiComSetChannelValue(F15,H15*ChannelMaster%),"")</f>
        <v>12</v>
      </c>
    </row>
    <row r="16" spans="1:9" x14ac:dyDescent="0.2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IF(ChannelManualMode,_xll.AuLiComSetChannelValue(F16,H16*ChannelMaster%),"")</f>
        <v>13</v>
      </c>
    </row>
    <row r="17" spans="1:9" x14ac:dyDescent="0.2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IF(ChannelManualMode,_xll.AuLiComSetChannelValue(F17,H17*ChannelMaster%),"")</f>
        <v>14</v>
      </c>
    </row>
    <row r="18" spans="1:9" x14ac:dyDescent="0.2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IF(ChannelManualMode,_xll.AuLiComSetChannelValue(F18,H18*ChannelMaster%),"")</f>
        <v>15</v>
      </c>
    </row>
    <row r="19" spans="1:9" x14ac:dyDescent="0.2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IF(ChannelManualMode,_xll.AuLiComSetChannelValue(F19,H19*ChannelMaster%),"")</f>
        <v>16</v>
      </c>
    </row>
    <row r="20" spans="1:9" x14ac:dyDescent="0.2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IF(ChannelManualMode,_xll.AuLiComSetChannelValue(F20,H20*ChannelMaster%),"")</f>
        <v>17</v>
      </c>
    </row>
    <row r="21" spans="1:9" x14ac:dyDescent="0.2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IF(ChannelManualMode,_xll.AuLiComSetChannelValue(F21,H21*ChannelMaster%),"")</f>
        <v>18</v>
      </c>
    </row>
    <row r="22" spans="1:9" x14ac:dyDescent="0.2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IF(ChannelManualMode,_xll.AuLiComSetChannelValue(F22,H22*ChannelMaster%),"")</f>
        <v>19</v>
      </c>
    </row>
    <row r="23" spans="1:9" x14ac:dyDescent="0.2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IF(ChannelManualMode,_xll.AuLiComSetChannelValue(F23,H23*ChannelMaster%),"")</f>
        <v>20</v>
      </c>
    </row>
    <row r="24" spans="1:9" x14ac:dyDescent="0.2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IF(ChannelManualMode,_xll.AuLiComSetChannelValue(F24,H24*ChannelMaster%),"")</f>
        <v>21</v>
      </c>
    </row>
    <row r="25" spans="1:9" x14ac:dyDescent="0.2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IF(ChannelManualMode,_xll.AuLiComSetChannelValue(F25,H25*ChannelMaster%),"")</f>
        <v>22</v>
      </c>
    </row>
    <row r="26" spans="1:9" x14ac:dyDescent="0.2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IF(ChannelManualMode,_xll.AuLiComSetChannelValue(F26,H26*ChannelMaster%),"")</f>
        <v>23</v>
      </c>
    </row>
    <row r="27" spans="1:9" x14ac:dyDescent="0.2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IF(ChannelManualMode,_xll.AuLiComSetChannelValue(F27,H27*ChannelMaster%),"")</f>
        <v>24</v>
      </c>
    </row>
    <row r="28" spans="1:9" x14ac:dyDescent="0.2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0</v>
      </c>
      <c r="H28" s="2">
        <v>0</v>
      </c>
      <c r="I28" s="3" cm="1">
        <f t="array" ref="I28">IF(ChannelManualMode,_xll.AuLiComSetChannelValue(F28,H28*ChannelMaster%),"")</f>
        <v>25</v>
      </c>
    </row>
    <row r="29" spans="1:9" x14ac:dyDescent="0.2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IF(ChannelManualMode,_xll.AuLiComSetChannelValue(F29,H29*ChannelMaster%),"")</f>
        <v>26</v>
      </c>
    </row>
    <row r="30" spans="1:9" x14ac:dyDescent="0.2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IF(ChannelManualMode,_xll.AuLiComSetChannelValue(F30,H30*ChannelMaster%),"")</f>
        <v>27</v>
      </c>
    </row>
    <row r="31" spans="1:9" x14ac:dyDescent="0.2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IF(ChannelManualMode,_xll.AuLiComSetChannelValue(F31,H31*ChannelMaster%),"")</f>
        <v>28</v>
      </c>
    </row>
    <row r="32" spans="1:9" x14ac:dyDescent="0.2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0</v>
      </c>
      <c r="H32" s="2">
        <v>0</v>
      </c>
      <c r="I32" s="3" cm="1">
        <f t="array" ref="I32">IF(ChannelManualMode,_xll.AuLiComSetChannelValue(F32,H32*ChannelMaster%),"")</f>
        <v>29</v>
      </c>
    </row>
    <row r="33" spans="1:9" x14ac:dyDescent="0.2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0</v>
      </c>
      <c r="H33" s="2">
        <v>0</v>
      </c>
      <c r="I33" s="3" cm="1">
        <f t="array" ref="I33">IF(ChannelManualMode,_xll.AuLiComSetChannelValue(F33,H33*ChannelMaster%),"")</f>
        <v>30</v>
      </c>
    </row>
    <row r="34" spans="1:9" x14ac:dyDescent="0.2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IF(ChannelManualMode,_xll.AuLiComSetChannelValue(F34,H34*ChannelMaster%),"")</f>
        <v>31</v>
      </c>
    </row>
    <row r="35" spans="1:9" x14ac:dyDescent="0.2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IF(ChannelManualMode,_xll.AuLiComSetChannelValue(F35,H35*ChannelMaster%),"")</f>
        <v>32</v>
      </c>
    </row>
    <row r="36" spans="1:9" x14ac:dyDescent="0.2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IF(ChannelManualMode,_xll.AuLiComSetChannelValue(F36,H36*ChannelMaster%),"")</f>
        <v>34</v>
      </c>
    </row>
    <row r="37" spans="1:9" x14ac:dyDescent="0.2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IF(ChannelManualMode,_xll.AuLiComSetChannelValue(F37,H37*ChannelMaster%),"")</f>
        <v>35</v>
      </c>
    </row>
    <row r="38" spans="1:9" x14ac:dyDescent="0.2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IF(ChannelManualMode,_xll.AuLiComSetChannelValue(F38,H38*ChannelMaster%),"")</f>
        <v>36</v>
      </c>
    </row>
    <row r="39" spans="1:9" x14ac:dyDescent="0.2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IF(ChannelManualMode,_xll.AuLiComSetChannelValue(F39,H39*ChannelMaster%),"")</f>
        <v>37</v>
      </c>
    </row>
    <row r="40" spans="1:9" x14ac:dyDescent="0.2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IF(ChannelManualMode,_xll.AuLiComSetChannelValue(F40,H40*ChannelMaster%),"")</f>
        <v>38</v>
      </c>
    </row>
    <row r="41" spans="1:9" x14ac:dyDescent="0.2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IF(ChannelManualMode,_xll.AuLiComSetChannelValue(F41,H41*ChannelMaster%),"")</f>
        <v>39</v>
      </c>
    </row>
    <row r="42" spans="1:9" x14ac:dyDescent="0.25">
      <c r="A42" s="6"/>
      <c r="C42" t="str">
        <v>Special über der Bühne</v>
      </c>
      <c r="D42" t="str">
        <v>Par64</v>
      </c>
      <c r="E42" t="str">
        <v>Intensity</v>
      </c>
      <c r="F42">
        <v>41</v>
      </c>
      <c r="G42">
        <f ca="1"/>
        <v>0</v>
      </c>
      <c r="H42" s="2">
        <v>0</v>
      </c>
      <c r="I42" s="3" cm="1">
        <f t="array" ref="I42">IF(ChannelManualMode,_xll.AuLiComSetChannelValue(F42,H42*ChannelMaster%),"")</f>
        <v>41</v>
      </c>
    </row>
    <row r="43" spans="1:9" x14ac:dyDescent="0.25">
      <c r="A43" s="6"/>
      <c r="C43" t="str">
        <v>LED vorne links</v>
      </c>
      <c r="D43" t="str">
        <v>CameoPixBar650CPro_3Ch1</v>
      </c>
      <c r="E43" t="str">
        <v>Red</v>
      </c>
      <c r="F43">
        <v>43</v>
      </c>
      <c r="G43">
        <f ca="1"/>
        <v>0</v>
      </c>
      <c r="H43" s="2">
        <v>0</v>
      </c>
      <c r="I43" s="3" cm="1">
        <f t="array" ref="I43">IF(ChannelManualMode,_xll.AuLiComSetChannelValue(F43,H43*ChannelMaster%),"")</f>
        <v>43</v>
      </c>
    </row>
    <row r="44" spans="1:9" x14ac:dyDescent="0.25">
      <c r="A44" s="6"/>
      <c r="C44" t="str">
        <v>LED vorne links</v>
      </c>
      <c r="D44" t="str">
        <v>CameoPixBar650CPro_3Ch1</v>
      </c>
      <c r="E44" t="str">
        <v>Green</v>
      </c>
      <c r="F44">
        <v>44</v>
      </c>
      <c r="G44">
        <f ca="1"/>
        <v>0</v>
      </c>
      <c r="H44" s="2">
        <v>0</v>
      </c>
      <c r="I44" s="3" cm="1">
        <f t="array" ref="I44">IF(ChannelManualMode,_xll.AuLiComSetChannelValue(F44,H44*ChannelMaster%),"")</f>
        <v>44</v>
      </c>
    </row>
    <row r="45" spans="1:9" x14ac:dyDescent="0.25">
      <c r="A45" s="6"/>
      <c r="C45" t="str">
        <v>LED vorne links</v>
      </c>
      <c r="D45" t="str">
        <v>CameoPixBar650CPro_3Ch1</v>
      </c>
      <c r="E45" t="str">
        <v>Blue</v>
      </c>
      <c r="F45">
        <v>45</v>
      </c>
      <c r="G45">
        <f ca="1"/>
        <v>0</v>
      </c>
      <c r="H45" s="2">
        <v>0</v>
      </c>
      <c r="I45" s="3" cm="1">
        <f t="array" ref="I45">IF(ChannelManualMode,_xll.AuLiComSetChannelValue(F45,H45*ChannelMaster%),"")</f>
        <v>45</v>
      </c>
    </row>
    <row r="46" spans="1:9" x14ac:dyDescent="0.25">
      <c r="A46" s="6"/>
      <c r="C46" t="str">
        <v>LED vorne rechts</v>
      </c>
      <c r="D46" t="str">
        <v>CameoPixBar650CPro_3Ch1</v>
      </c>
      <c r="E46" t="str">
        <v>Red</v>
      </c>
      <c r="F46">
        <v>46</v>
      </c>
      <c r="G46">
        <f ca="1"/>
        <v>0</v>
      </c>
      <c r="H46" s="2">
        <v>0</v>
      </c>
      <c r="I46" s="3" cm="1">
        <f t="array" ref="I46">IF(ChannelManualMode,_xll.AuLiComSetChannelValue(F46,H46*ChannelMaster%),"")</f>
        <v>46</v>
      </c>
    </row>
    <row r="47" spans="1:9" x14ac:dyDescent="0.25">
      <c r="A47" s="6"/>
      <c r="C47" t="str">
        <v>LED vorne rechts</v>
      </c>
      <c r="D47" t="str">
        <v>CameoPixBar650CPro_3Ch1</v>
      </c>
      <c r="E47" t="str">
        <v>Green</v>
      </c>
      <c r="F47">
        <v>47</v>
      </c>
      <c r="G47">
        <f ca="1"/>
        <v>0</v>
      </c>
      <c r="H47" s="2">
        <v>0</v>
      </c>
      <c r="I47" s="3" cm="1">
        <f t="array" ref="I47">IF(ChannelManualMode,_xll.AuLiComSetChannelValue(F47,H47*ChannelMaster%),"")</f>
        <v>47</v>
      </c>
    </row>
    <row r="48" spans="1:9" x14ac:dyDescent="0.25">
      <c r="A48" s="6"/>
      <c r="C48" t="str">
        <v>LED vorne rechts</v>
      </c>
      <c r="D48" t="str">
        <v>CameoPixBar650CPro_3Ch1</v>
      </c>
      <c r="E48" t="str">
        <v>Blue</v>
      </c>
      <c r="F48">
        <v>48</v>
      </c>
      <c r="G48">
        <f ca="1"/>
        <v>0</v>
      </c>
      <c r="H48" s="2">
        <v>0</v>
      </c>
      <c r="I48" s="3" cm="1">
        <f t="array" ref="I48">IF(ChannelManualMode,_xll.AuLiComSetChannelValue(F48,H48*ChannelMaster%),"")</f>
        <v>48</v>
      </c>
    </row>
    <row r="49" spans="1:9" x14ac:dyDescent="0.25">
      <c r="A49" s="6"/>
      <c r="C49" t="str">
        <v>LED hinten links</v>
      </c>
      <c r="D49" t="str">
        <v>CameoPixBar650CPro_3Ch1</v>
      </c>
      <c r="E49" t="str">
        <v>Red</v>
      </c>
      <c r="F49">
        <v>49</v>
      </c>
      <c r="G49">
        <f ca="1"/>
        <v>0</v>
      </c>
      <c r="H49" s="2">
        <v>0</v>
      </c>
      <c r="I49" s="3" cm="1">
        <f t="array" ref="I49">IF(ChannelManualMode,_xll.AuLiComSetChannelValue(F49,H49*ChannelMaster%),"")</f>
        <v>49</v>
      </c>
    </row>
    <row r="50" spans="1:9" x14ac:dyDescent="0.25">
      <c r="A50" s="6"/>
      <c r="C50" t="str">
        <v>LED hinten links</v>
      </c>
      <c r="D50" t="str">
        <v>CameoPixBar650CPro_3Ch1</v>
      </c>
      <c r="E50" t="str">
        <v>Green</v>
      </c>
      <c r="F50">
        <v>50</v>
      </c>
      <c r="G50">
        <f ca="1"/>
        <v>0</v>
      </c>
      <c r="H50" s="2">
        <v>0</v>
      </c>
      <c r="I50" s="3" cm="1">
        <f t="array" ref="I50">IF(ChannelManualMode,_xll.AuLiComSetChannelValue(F50,H50*ChannelMaster%),"")</f>
        <v>50</v>
      </c>
    </row>
    <row r="51" spans="1:9" x14ac:dyDescent="0.25">
      <c r="A51" s="6"/>
      <c r="C51" t="str">
        <v>LED hinten links</v>
      </c>
      <c r="D51" t="str">
        <v>CameoPixBar650CPro_3Ch1</v>
      </c>
      <c r="E51" t="str">
        <v>Blue</v>
      </c>
      <c r="F51">
        <v>51</v>
      </c>
      <c r="G51">
        <f ca="1"/>
        <v>0</v>
      </c>
      <c r="H51" s="2">
        <v>0</v>
      </c>
      <c r="I51" s="3" cm="1">
        <f t="array" ref="I51">IF(ChannelManualMode,_xll.AuLiComSetChannelValue(F51,H51*ChannelMaster%),"")</f>
        <v>51</v>
      </c>
    </row>
    <row r="52" spans="1:9" x14ac:dyDescent="0.25">
      <c r="A52" s="6"/>
      <c r="C52" t="str">
        <v>LED hinten rechts</v>
      </c>
      <c r="D52" t="str">
        <v>CameoPixBar650CPro_3Ch1</v>
      </c>
      <c r="E52" t="str">
        <v>Red</v>
      </c>
      <c r="F52">
        <v>52</v>
      </c>
      <c r="G52">
        <f ca="1"/>
        <v>0</v>
      </c>
      <c r="H52" s="2">
        <v>0</v>
      </c>
      <c r="I52" s="3" cm="1">
        <f t="array" ref="I52">IF(ChannelManualMode,_xll.AuLiComSetChannelValue(F52,H52*ChannelMaster%),"")</f>
        <v>52</v>
      </c>
    </row>
    <row r="53" spans="1:9" x14ac:dyDescent="0.25">
      <c r="A53" s="6"/>
      <c r="C53" t="str">
        <v>LED hinten rechts</v>
      </c>
      <c r="D53" t="str">
        <v>CameoPixBar650CPro_3Ch1</v>
      </c>
      <c r="E53" t="str">
        <v>Green</v>
      </c>
      <c r="F53">
        <v>53</v>
      </c>
      <c r="G53">
        <f ca="1"/>
        <v>0</v>
      </c>
      <c r="H53" s="2">
        <v>0</v>
      </c>
      <c r="I53" s="3" cm="1">
        <f t="array" ref="I53">IF(ChannelManualMode,_xll.AuLiComSetChannelValue(F53,H53*ChannelMaster%),"")</f>
        <v>53</v>
      </c>
    </row>
    <row r="54" spans="1:9" x14ac:dyDescent="0.25">
      <c r="C54" t="str">
        <v>LED hinten rechts</v>
      </c>
      <c r="D54" t="str">
        <v>CameoPixBar650CPro_3Ch1</v>
      </c>
      <c r="E54" t="str">
        <v>Blue</v>
      </c>
      <c r="F54">
        <v>54</v>
      </c>
      <c r="G54">
        <f ca="1"/>
        <v>0</v>
      </c>
      <c r="H54" s="2">
        <v>0</v>
      </c>
      <c r="I54" s="3" cm="1">
        <f t="array" ref="I54">IF(ChannelManualMode,_xll.AuLiComSetChannelValue(F54,H54*ChannelMaster%),"")</f>
        <v>54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list" allowBlank="1" sqref="H1:H1048576" xr:uid="{4A3E59FC-BA77-41C8-9A9C-F9C8EC28ABFF}">
      <formula1>ChannelLevelAndColorSuggestions</formula1>
    </dataValidation>
  </dataValidations>
  <hyperlinks>
    <hyperlink ref="A4" r:id="rId1" display="LED@dark blue" xr:uid="{14E2205E-7A88-4FB9-84BF-B067B00256E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3"/>
  <sheetViews>
    <sheetView workbookViewId="0">
      <selection activeCell="B8" sqref="B8"/>
    </sheetView>
  </sheetViews>
  <sheetFormatPr defaultRowHeight="15" x14ac:dyDescent="0.25"/>
  <cols>
    <col min="1" max="1" width="25.5703125" style="9" customWidth="1"/>
    <col min="2" max="2" width="10.140625" style="9" bestFit="1" customWidth="1"/>
    <col min="3" max="3" width="9.140625" style="10"/>
    <col min="4" max="4" width="37.28515625" customWidth="1"/>
  </cols>
  <sheetData>
    <row r="1" spans="1:2" x14ac:dyDescent="0.25">
      <c r="A1" s="8" t="s">
        <v>18</v>
      </c>
      <c r="B1" s="8"/>
    </row>
    <row r="2" spans="1:2" x14ac:dyDescent="0.25">
      <c r="A2" s="9" t="str" cm="1">
        <f t="array" ref="A2:A13">_xll.AuLiComGetScenes()</f>
        <v>Blue1</v>
      </c>
      <c r="B2" s="9">
        <v>1</v>
      </c>
    </row>
    <row r="3" spans="1:2" x14ac:dyDescent="0.25">
      <c r="A3" s="9" t="str">
        <v>Green1</v>
      </c>
      <c r="B3" s="9">
        <v>1</v>
      </c>
    </row>
    <row r="4" spans="1:2" x14ac:dyDescent="0.25">
      <c r="A4" s="9" t="str">
        <v>Green3</v>
      </c>
      <c r="B4" s="9">
        <v>1</v>
      </c>
    </row>
    <row r="5" spans="1:2" x14ac:dyDescent="0.25">
      <c r="A5" s="9" t="str">
        <v>Red2</v>
      </c>
      <c r="B5" s="9">
        <v>1</v>
      </c>
    </row>
    <row r="6" spans="1:2" x14ac:dyDescent="0.25">
      <c r="A6" s="9" t="str">
        <v>Green4</v>
      </c>
      <c r="B6" s="9">
        <v>1</v>
      </c>
    </row>
    <row r="7" spans="1:2" x14ac:dyDescent="0.25">
      <c r="A7" s="9" t="str">
        <v>Green2</v>
      </c>
      <c r="B7" s="9">
        <v>1</v>
      </c>
    </row>
    <row r="8" spans="1:2" x14ac:dyDescent="0.25">
      <c r="A8" s="9" t="str">
        <v>Red1</v>
      </c>
      <c r="B8" s="9">
        <v>1</v>
      </c>
    </row>
    <row r="9" spans="1:2" x14ac:dyDescent="0.25">
      <c r="A9" s="9" t="str">
        <v>Red3</v>
      </c>
      <c r="B9" s="9">
        <v>1</v>
      </c>
    </row>
    <row r="10" spans="1:2" x14ac:dyDescent="0.25">
      <c r="A10" s="9" t="str">
        <v>Blue4</v>
      </c>
      <c r="B10" s="9">
        <v>1</v>
      </c>
    </row>
    <row r="11" spans="1:2" x14ac:dyDescent="0.25">
      <c r="A11" s="9" t="str">
        <v>Blue3</v>
      </c>
      <c r="B11" s="9">
        <v>1</v>
      </c>
    </row>
    <row r="12" spans="1:2" x14ac:dyDescent="0.25">
      <c r="A12" s="9" t="str">
        <v>Red4</v>
      </c>
      <c r="B12" s="9">
        <v>1</v>
      </c>
    </row>
    <row r="13" spans="1:2" x14ac:dyDescent="0.25">
      <c r="A13" s="9" t="str">
        <v>Blue2</v>
      </c>
      <c r="B13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workbookViewId="0">
      <selection activeCell="C6" sqref="C6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20</v>
      </c>
    </row>
    <row r="3" spans="1:28" x14ac:dyDescent="0.25">
      <c r="A3" s="1" t="s">
        <v>2</v>
      </c>
      <c r="B3" s="1" t="s">
        <v>23</v>
      </c>
      <c r="C3" s="1" t="s">
        <v>21</v>
      </c>
      <c r="D3" s="1" t="s">
        <v>22</v>
      </c>
    </row>
    <row r="4" spans="1:28" x14ac:dyDescent="0.25">
      <c r="A4" s="2" t="s">
        <v>25</v>
      </c>
      <c r="B4" s="2" t="s">
        <v>24</v>
      </c>
      <c r="C4" s="2">
        <v>100</v>
      </c>
      <c r="D4" s="2" t="s">
        <v>26</v>
      </c>
      <c r="E4" s="2" t="s">
        <v>28</v>
      </c>
      <c r="F4" s="2" t="s">
        <v>27</v>
      </c>
      <c r="G4" s="2" t="s">
        <v>88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Reds</v>
      </c>
    </row>
    <row r="5" spans="1:28" x14ac:dyDescent="0.25">
      <c r="A5" s="2" t="s">
        <v>35</v>
      </c>
      <c r="B5" s="2" t="s">
        <v>36</v>
      </c>
      <c r="C5" s="2">
        <v>150</v>
      </c>
      <c r="D5" s="2" t="s">
        <v>26</v>
      </c>
      <c r="E5" s="2" t="s">
        <v>28</v>
      </c>
      <c r="F5" s="2" t="s">
        <v>27</v>
      </c>
      <c r="G5" s="2" t="s">
        <v>88</v>
      </c>
      <c r="H5" s="2" t="s">
        <v>32</v>
      </c>
      <c r="I5" s="2" t="s">
        <v>33</v>
      </c>
      <c r="J5" s="2" t="s">
        <v>34</v>
      </c>
      <c r="K5" s="2" t="s">
        <v>89</v>
      </c>
      <c r="L5" s="2" t="s">
        <v>29</v>
      </c>
      <c r="M5" s="2" t="s">
        <v>30</v>
      </c>
      <c r="N5" s="2" t="s">
        <v>31</v>
      </c>
      <c r="O5" s="2" t="s">
        <v>90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All Colors</v>
      </c>
    </row>
    <row r="6" spans="1:2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/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Overview</vt:lpstr>
      <vt:lpstr>Fixture Definition</vt:lpstr>
      <vt:lpstr>Color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2023-08-20T19:46:51Z</dcterms:modified>
</cp:coreProperties>
</file>