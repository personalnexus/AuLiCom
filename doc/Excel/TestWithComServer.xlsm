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346" documentId="8_{33E53E1F-A3F6-4075-900F-54641BCFD3E8}" xr6:coauthVersionLast="47" xr6:coauthVersionMax="47" xr10:uidLastSave="{C73E690D-9ADA-4D79-9E8C-A18BDB3BC000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9" l="1" a="1"/>
  <c r="F1" i="9" s="1"/>
  <c r="F8" i="9" s="1" a="1"/>
  <c r="F8" i="9" s="1"/>
  <c r="G1" i="9" a="1"/>
  <c r="G1" i="9" s="1"/>
  <c r="G8" i="9" s="1" a="1"/>
  <c r="G8" i="9" s="1"/>
  <c r="H1" i="9" a="1"/>
  <c r="H1" i="9" s="1"/>
  <c r="H8" i="9" s="1" a="1"/>
  <c r="H8" i="9" s="1"/>
  <c r="F14" i="1" a="1"/>
  <c r="F14" i="1" s="1"/>
  <c r="F15" i="1" a="1"/>
  <c r="F15" i="1" s="1"/>
  <c r="F16" i="1" a="1"/>
  <c r="F16" i="1" s="1"/>
  <c r="Q1" i="2" a="1"/>
  <c r="Q1" i="2" s="1"/>
  <c r="R1" i="2" a="1"/>
  <c r="R1" i="2" s="1"/>
  <c r="S1" i="2" a="1"/>
  <c r="S1" i="2" s="1"/>
  <c r="C2" i="1" a="1"/>
  <c r="D2" i="1" a="1"/>
  <c r="E1" i="9" a="1"/>
  <c r="C1" i="9" a="1"/>
  <c r="D1" i="9" a="1"/>
  <c r="B1" i="9" a="1"/>
  <c r="A7" i="1" a="1"/>
  <c r="E1" i="2" a="1"/>
  <c r="L1" i="2" a="1"/>
  <c r="E2" i="1" a="1"/>
  <c r="O1" i="2" a="1"/>
  <c r="G1" i="2" a="1"/>
  <c r="H1" i="2" a="1"/>
  <c r="P1" i="2" a="1"/>
  <c r="I1" i="2" a="1"/>
  <c r="J1" i="2" a="1"/>
  <c r="A4" i="2" a="1"/>
  <c r="M1" i="2" a="1"/>
  <c r="K1" i="2" a="1"/>
  <c r="F1" i="2" a="1"/>
  <c r="N1" i="2" a="1"/>
  <c r="E1" i="9" l="1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A7" i="8" a="1"/>
  <c r="F13" i="1" a="1"/>
  <c r="F7" i="1" a="1"/>
  <c r="F6" i="1" a="1"/>
  <c r="F8" i="1" a="1"/>
  <c r="F5" i="1" a="1"/>
  <c r="F12" i="1" a="1"/>
  <c r="F9" i="1" a="1"/>
  <c r="F4" i="1" a="1"/>
  <c r="F11" i="1" a="1"/>
  <c r="F10" i="1" a="1"/>
  <c r="F3" i="1" a="1"/>
  <c r="E8" i="9" a="1"/>
  <c r="D8" i="9" a="1"/>
  <c r="B8" i="9" a="1"/>
  <c r="C8" i="9" a="1"/>
  <c r="F2" i="1" a="1"/>
  <c r="C4" i="8" a="1"/>
  <c r="I5" i="8" a="1"/>
  <c r="I46" i="8" a="1"/>
  <c r="I40" i="8" a="1"/>
  <c r="I38" i="8" a="1"/>
  <c r="I16" i="8" a="1"/>
  <c r="I29" i="8" a="1"/>
  <c r="I35" i="8" a="1"/>
  <c r="I39" i="8" a="1"/>
  <c r="I49" i="8" a="1"/>
  <c r="I47" i="8" a="1"/>
  <c r="I28" i="8" a="1"/>
  <c r="I33" i="8" a="1"/>
  <c r="I12" i="8" a="1"/>
  <c r="I37" i="8" a="1"/>
  <c r="I22" i="8" a="1"/>
  <c r="I43" i="8" a="1"/>
  <c r="I13" i="8" a="1"/>
  <c r="I53" i="8" a="1"/>
  <c r="I32" i="8" a="1"/>
  <c r="I19" i="8" a="1"/>
  <c r="I10" i="8" a="1"/>
  <c r="I11" i="8" a="1"/>
  <c r="I52" i="8" a="1"/>
  <c r="I51" i="8" a="1"/>
  <c r="I30" i="8" a="1"/>
  <c r="I8" i="8" a="1"/>
  <c r="I21" i="8" a="1"/>
  <c r="I36" i="8" a="1"/>
  <c r="I27" i="8" a="1"/>
  <c r="I23" i="8" a="1"/>
  <c r="I50" i="8" a="1"/>
  <c r="I45" i="8" a="1"/>
  <c r="I54" i="8" a="1"/>
  <c r="I25" i="8" a="1"/>
  <c r="I18" i="8" a="1"/>
  <c r="I4" i="8" a="1"/>
  <c r="I34" i="8" a="1"/>
  <c r="I31" i="8" a="1"/>
  <c r="I6" i="8" a="1"/>
  <c r="I14" i="8" a="1"/>
  <c r="I24" i="8" a="1"/>
  <c r="I41" i="8" a="1"/>
  <c r="I42" i="8" a="1"/>
  <c r="I44" i="8" a="1"/>
  <c r="I26" i="8" a="1"/>
  <c r="I9" i="8" a="1"/>
  <c r="I15" i="8" a="1"/>
  <c r="I7" i="8" a="1"/>
  <c r="I20" i="8" a="1"/>
  <c r="I48" i="8" a="1"/>
  <c r="I17" i="8" a="1"/>
  <c r="E8" i="9" l="1"/>
  <c r="D8" i="9"/>
  <c r="C8" i="9"/>
  <c r="B8" i="9"/>
  <c r="F9" i="1"/>
  <c r="F12" i="1"/>
  <c r="F11" i="1"/>
  <c r="F13" i="1"/>
  <c r="F8" i="1"/>
  <c r="F10" i="1"/>
  <c r="F3" i="1"/>
  <c r="F6" i="1"/>
  <c r="F5" i="1"/>
  <c r="F7" i="1"/>
  <c r="F4" i="1"/>
  <c r="F2" i="1"/>
  <c r="I51" i="8"/>
  <c r="I54" i="8"/>
  <c r="I53" i="8"/>
  <c r="I50" i="8"/>
  <c r="I49" i="8"/>
  <c r="I52" i="8"/>
  <c r="A7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5" i="5" a="1"/>
  <c r="AB4" i="5" a="1"/>
  <c r="G4" i="8" a="1"/>
  <c r="G4" i="8" l="1"/>
  <c r="AB5" i="5"/>
  <c r="AB4" i="5"/>
  <c r="A3" i="1" a="1"/>
  <c r="A12" i="1" a="1"/>
  <c r="A6" i="1" a="1"/>
  <c r="A4" i="1" a="1"/>
  <c r="A5" i="1" a="1"/>
  <c r="A2" i="4" a="1"/>
  <c r="A12" i="1" l="1"/>
  <c r="A4" i="1"/>
  <c r="A2" i="4"/>
  <c r="A5" i="1"/>
  <c r="A6" i="1"/>
  <c r="A3" i="1"/>
  <c r="F36" i="3" a="1"/>
  <c r="F15" i="3" a="1"/>
  <c r="F30" i="3" a="1"/>
  <c r="F34" i="3" a="1"/>
  <c r="F8" i="3" a="1"/>
  <c r="F14" i="3" a="1"/>
  <c r="F20" i="3" a="1"/>
  <c r="F22" i="3" a="1"/>
  <c r="F29" i="3" a="1"/>
  <c r="F28" i="3" a="1"/>
  <c r="F23" i="3" a="1"/>
  <c r="F9" i="3" a="1"/>
  <c r="F24" i="3" a="1"/>
  <c r="F25" i="3" a="1"/>
  <c r="F6" i="3" a="1"/>
  <c r="F19" i="3" a="1"/>
  <c r="F31" i="3" a="1"/>
  <c r="F11" i="3" a="1"/>
  <c r="F7" i="3" a="1"/>
  <c r="F18" i="3" a="1"/>
  <c r="F37" i="3" a="1"/>
  <c r="F35" i="3" a="1"/>
  <c r="F32" i="3" a="1"/>
  <c r="F13" i="3" a="1"/>
  <c r="F26" i="3" a="1"/>
  <c r="F21" i="3" a="1"/>
  <c r="F33" i="3" a="1"/>
  <c r="F4" i="3" a="1"/>
  <c r="F38" i="3" a="1"/>
  <c r="F27" i="3" a="1"/>
  <c r="F17" i="3" a="1"/>
  <c r="F5" i="3" a="1"/>
  <c r="F12" i="3" a="1"/>
  <c r="F3" i="3" a="1"/>
  <c r="F16" i="3" a="1"/>
  <c r="F39" i="3" a="1"/>
  <c r="F2" i="3" a="1"/>
  <c r="F10" i="3" a="1"/>
  <c r="F22" i="3" l="1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10" i="3" a="1"/>
  <c r="D19" i="3" a="1"/>
  <c r="D8" i="3" a="1"/>
  <c r="D3" i="3" a="1"/>
  <c r="D5" i="3" a="1"/>
  <c r="D16" i="3" a="1"/>
  <c r="D15" i="3" a="1"/>
  <c r="D39" i="3" a="1"/>
  <c r="D36" i="3" a="1"/>
  <c r="D7" i="3" a="1"/>
  <c r="D6" i="3" a="1"/>
  <c r="D34" i="3" a="1"/>
  <c r="D26" i="3" a="1"/>
  <c r="D28" i="3" a="1"/>
  <c r="D14" i="3" a="1"/>
  <c r="D27" i="3" a="1"/>
  <c r="D38" i="3" a="1"/>
  <c r="D29" i="3" a="1"/>
  <c r="D22" i="3" a="1"/>
  <c r="D12" i="3" a="1"/>
  <c r="D21" i="3" a="1"/>
  <c r="D30" i="3" a="1"/>
  <c r="D9" i="3" a="1"/>
  <c r="D23" i="3" a="1"/>
  <c r="D37" i="3" a="1"/>
  <c r="D11" i="3" a="1"/>
  <c r="D18" i="3" a="1"/>
  <c r="D32" i="3" a="1"/>
  <c r="D4" i="3" a="1"/>
  <c r="D31" i="3" a="1"/>
  <c r="D33" i="3" a="1"/>
  <c r="D2" i="3" a="1"/>
  <c r="D13" i="3" a="1"/>
  <c r="D24" i="3" a="1"/>
  <c r="D20" i="3" a="1"/>
  <c r="D25" i="3" a="1"/>
  <c r="D17" i="3" a="1"/>
  <c r="D35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<sst xmlns="http://schemas.openxmlformats.org/spreadsheetml/2006/main" count="155" uniqueCount="107">
  <si>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</si>
  <si>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</si>
  <si>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</si>
  <si>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</si>
  <si>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</si>
  <si>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</si>
  <si>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</si>
  <si>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</si>
  <si>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</si>
  <si>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</si>
  <si>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</si>
  <si>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</si>
  <si>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</si>
  <si>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</si>
  <si>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</si>
  <si>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</si>
  <si>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</si>
  <si>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</si>
  <si>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</si>
  <si>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</si>
  <si>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</si>
  <si>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</si>
  <si>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</si>
  <si>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</si>
  <si>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</si>
  <si>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</si>
  <si>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</si>
  <si>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</si>
  <si>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</si>
  <si>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</si>
  <si>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</si>
  <si>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</si>
  <si>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</si>
  <si>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</si>
  <si>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</si>
  <si>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</si>
  <si>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</si>
  <si>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</si>
  <si>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</si>
  <si>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</si>
  <si>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</si>
  <si>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</si>
  <si>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</si>
  <si>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</si>
  <si>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</si>
  <si>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</si>
  <si>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</si>
  <si>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</si>
  <si>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</si>
  <si>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</si>
  <si>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</si>
  <si>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</si>
  <si>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</si>
  <si>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</si>
  <si>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</si>
  <si>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</si>
  <si>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</si>
  <si>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</si>
  <si>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</si>
  <si>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</si>
  <si>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</si>
  <si>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</si>
  <si>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</si>
  <si>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</si>
  <si>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</si>
  <si>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</si>
  <si>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</si>
  <si>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</si>
  <si>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</si>
  <si>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</si>
  <si>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</si>
  <si>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</si>
  <si>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</si>
  <si>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</si>
  <si>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</si>
  <si>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</si>
  <si>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</si>
  <si>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</si>
  <si>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</si>
  <si>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</si>
  <si>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</si>
  <si>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</si>
  <si>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</si>
  <si>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</si>
  <si>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</si>
  <si>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</si>
  <si>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</si>
  <si>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</si>
  <si>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</si>
  <si>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</si>
  <si>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</si>
  <si>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</si>
  <si>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</si>
  <si>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</si>
  <si>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</si>
  <si>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</si>
  <si>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</si>
  <si>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</si>
  <si>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</si>
  <si>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</si>
  <si>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</si>
  <si>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</si>
  <si>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</si>
  <si>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</si>
  <si>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DMX6</t>
  </si>
  <si>
    <t>Dark Blue</t>
  </si>
  <si>
    <t>Light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</si>
</sst>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A6" sqref="A6"/>
    </sheetView>
  </sheetViews>
  <sheetFormatPr defaultRowHeight="15" x14ac:dyDescent="0.25"/>
  <cols>
    <col min="1" max="1" width="21.7109375" customWidth="1"/>
    <col min="3" max="3" width="17.7109375" customWidth="1"/>
    <col min="4" max="4" width="38.7109375" customWidth="1"/>
    <col min="5" max="5" width="13.7109375" bestFit="1" customWidth="1"/>
  </cols>
  <sheetData>
    <row r="1" spans="1:12" x14ac:dyDescent="0.25">
      <c r="A1" s="1" t="s">
        <v>93</v>
      </c>
      <c r="C1" s="11" t="s">
        <v>91</v>
      </c>
      <c r="D1" s="1" t="s">
        <v>92</v>
      </c>
      <c r="E1" s="1" t="s">
        <v>95</v>
      </c>
    </row>
    <row r="2" spans="1:12" x14ac:dyDescent="0.25">
      <c r="A2" s="2" t="s">
        <v>104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">_xlfn._xlws.SORT(_xll.AuLiComGetScenes())</f>
        <v>#ERROR: Must initialize AuLiCom's Excel runtime before calling AuLiComGetScenes.</v>
      </c>
      <c r="F2" t="str" cm="1">
        <f t="array" ref="F2">IF(E2="","",_xll.AuLiComGetSceneChannelPercentages(E2))</f>
        <v>#ERROR: Must initialize AuLiCom's Excel runtime before calling AuLiComGetSceneChannelPercentages.</v>
      </c>
    </row>
    <row r="3" spans="1:12" x14ac:dyDescent="0.25">
      <c r="A3" s="3" t="str" cm="1">
        <f t="array" ref="A3">_xll.AuLiComSetDmxConnection(SelectedPort)</f>
        <v>DMX:Empty</v>
      </c>
      <c r="C3" t="str">
        <v>Loop</v>
      </c>
      <c r="D3" t="str">
        <v>CameoLedBar_12Ch</v>
      </c>
      <c r="F3" t="str" cm="1">
        <f t="array" ref="F3">IF(E3="","",_xll.AuLiComGetSceneChannelPercentages(E3))</f>
        <v/>
      </c>
      <c r="L3" s="1"/>
    </row>
    <row r="4" spans="1:12" x14ac:dyDescent="0.25">
      <c r="A4" s="3" t="str" cm="1">
        <f t="array" ref="A4">"FIXTURES:"&amp;_xll.AuLiComGetFixturesVersion()</f>
        <v>FIXTURES:#ERROR: Must initialize AuLiCom's Excel runtime before calling AuLiComGetFixturesVersion.</v>
      </c>
      <c r="C4" t="str">
        <v>BackAndForth</v>
      </c>
      <c r="D4" t="str">
        <v>CameoLedBar_3Ch2</v>
      </c>
      <c r="F4" t="str" cm="1">
        <f t="array" ref="F4">IF(E4="","",_xll.AuLiComGetSceneChannelPercentages(E4))</f>
        <v/>
      </c>
    </row>
    <row r="5" spans="1:12" x14ac:dyDescent="0.25">
      <c r="A5" s="3" t="str" cm="1">
        <f t="array" ref="A5">"SCENES:"&amp;_xll.AuLiComGetScenesVersion()</f>
        <v>SCENES:#ERROR: Must initialize AuLiCom's Excel runtime before calling AuLiComGetScenesVersion.</v>
      </c>
      <c r="C5" t="str">
        <v>Random</v>
      </c>
      <c r="D5" t="str">
        <v>CameoPixBar650CPro_3Ch1</v>
      </c>
      <c r="F5" t="str" cm="1">
        <f t="array" ref="F5">IF(E5="","",_xll.AuLiComGetSceneChannelPercentages(E5))</f>
        <v/>
      </c>
    </row>
    <row r="6" spans="1:12" x14ac:dyDescent="0.25">
      <c r="A6" s="3" t="str" cm="1">
        <f t="array" ref="A6">"CHANNELS:"&amp;_xll.AuLiComGetChannelsVersion()</f>
        <v>CHANNELS:#ERROR: Must initialize AuLiCom's Excel runtime before calling AuLiComGetChannelsVersion.</v>
      </c>
      <c r="D6" t="str">
        <v>CameoPixBar650CPro_3Ch2</v>
      </c>
      <c r="F6" t="str" cm="1">
        <f t="array" ref="F6">IF(E6="","",_xll.AuLiComGetSceneChannelPercentages(E6))</f>
        <v/>
      </c>
    </row>
    <row r="7" spans="1:12" x14ac:dyDescent="0.25">
      <c r="A7" s="3" t="str" cm="1">
        <f t="array" ref="A7">"COLORS:"&amp;_xll.AuLiComGetColorsVersion(Dmx)</f>
        <v>COLORS:#ERROR: Must initialize AuLiCom's Excel runtime before calling AuLiComGetColorsVersion.</v>
      </c>
      <c r="D7" t="str">
        <v>CameoThunderWash600Rgbw_7Ch2</v>
      </c>
      <c r="F7" t="str" cm="1">
        <f t="array" ref="F7">IF(E7="","",_xll.AuLiComGetSceneChannelPercentages(E7))</f>
        <v/>
      </c>
    </row>
    <row r="8" spans="1:12" x14ac:dyDescent="0.25">
      <c r="D8" t="str">
        <v>CantataPc</v>
      </c>
      <c r="F8" t="str" cm="1">
        <f t="array" ref="F8">IF(E8="","",_xll.AuLiComGetSceneChannelPercentages(E8))</f>
        <v/>
      </c>
    </row>
    <row r="9" spans="1:12" x14ac:dyDescent="0.25">
      <c r="D9" t="str">
        <v>CantataProfiler</v>
      </c>
      <c r="F9" t="str" cm="1">
        <f t="array" ref="F9">IF(E9="","",_xll.AuLiComGetSceneChannelPercentages(E9))</f>
        <v/>
      </c>
    </row>
    <row r="10" spans="1:12" x14ac:dyDescent="0.25">
      <c r="A10" s="4" t="s">
        <v>0</v>
      </c>
      <c r="D10" t="str">
        <v>ElationKl4Fresnel_1Ch</v>
      </c>
      <c r="F10" t="str" cm="1">
        <f t="array" ref="F10">IF(E10="","",_xll.AuLiComGetSceneChannelPercentages(E10))</f>
        <v/>
      </c>
    </row>
    <row r="11" spans="1:12" x14ac:dyDescent="0.25">
      <c r="A11" s="3" t="s">
        <v>19</v>
      </c>
      <c r="D11" t="str">
        <v>GenericLamp</v>
      </c>
      <c r="F11" t="str" cm="1">
        <f t="array" ref="F11">IF(E11="","",_xll.AuLiComGetSceneChannelPercentages(E11))</f>
        <v/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F12" t="str" cm="1">
        <f t="array" ref="F12">IF(E12="","",_xll.AuLiComGetSceneChannelPercentages(E12))</f>
        <v/>
      </c>
    </row>
    <row r="13" spans="1:12" x14ac:dyDescent="0.25">
      <c r="D13" t="str">
        <v>Par56Silver</v>
      </c>
      <c r="F13" t="str" cm="1">
        <f t="array" ref="F13">IF(E13="","",_xll.AuLiComGetSceneChannelPercentages(E13))</f>
        <v/>
      </c>
    </row>
    <row r="14" spans="1:12" x14ac:dyDescent="0.25">
      <c r="D14" t="str">
        <v>Par64</v>
      </c>
      <c r="F14" t="str" cm="1">
        <f t="array" ref="F14">IF(E14="","",_xll.AuLiComGetSceneChannelPercentages(E14))</f>
        <v/>
      </c>
    </row>
    <row r="15" spans="1:12" x14ac:dyDescent="0.25">
      <c r="D15" t="str">
        <v>Profiler</v>
      </c>
      <c r="F15" t="str" cm="1">
        <f t="array" ref="F15">IF(E15="","",_xll.AuLiComGetSceneChannelPercentages(E15))</f>
        <v/>
      </c>
    </row>
    <row r="16" spans="1:12" x14ac:dyDescent="0.25">
      <c r="A16" s="3"/>
      <c r="D16" t="str">
        <v>Quartz</v>
      </c>
      <c r="F16" t="str" cm="1">
        <f t="array" ref="F16">IF(E16="","",_xll.AuLiComGetSceneChannelPercentages(E16))</f>
        <v/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56" sqref="B56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E4" sqref="E4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4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/>
      </c>
      <c r="G1" s="3" t="str" cm="1">
        <f t="array" ref="G1">IF(G3="",
       "",
       IF(COUNTIF(3:3,G3)&gt;1,
             "Color Name must be unique",
             _xll.AuLiComSetColor(G3,G4,G5,G6)))</f>
        <v/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105</v>
      </c>
      <c r="E3" s="12" t="s">
        <v>106</v>
      </c>
      <c r="F3" s="12"/>
      <c r="G3" s="12"/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/>
      <c r="G4" s="2"/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/>
      <c r="G5" s="2"/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/>
      <c r="G6" s="2"/>
      <c r="H6" s="2"/>
    </row>
    <row r="8" spans="1:8" s="15" customFormat="1" ht="45" x14ac:dyDescent="0.25">
      <c r="A8" s="16" t="s">
        <v>100</v>
      </c>
      <c r="B8" s="17" t="str" cm="1">
        <f t="array" ref="B8">IF(B1&lt;&gt;"",HYPERLINK(PreviewColor(B8,B4,B5,B6),B3),"")</f>
        <v>Orange</v>
      </c>
      <c r="C8" s="18" t="str" cm="1">
        <f t="array" ref="C8">IF(C1&lt;&gt;"",HYPERLINK(PreviewColor(C8,C4,C5,C6),C3),"")</f>
        <v>Pink</v>
      </c>
      <c r="D8" s="19" t="str" cm="1">
        <f t="array" ref="D8">IF(D1&lt;&gt;"",HYPERLINK(PreviewColor(D8,D4,D5,D6),D3),"")</f>
        <v>Dark Blue</v>
      </c>
      <c r="E8" s="20" t="str" cm="1">
        <f t="array" ref="E8">IF(E1&lt;&gt;"",HYPERLINK(PreviewColor(E8,E4,E5,E6),E3),"")</f>
        <v>Light Blue</v>
      </c>
      <c r="F8" s="15" t="str" cm="1">
        <f t="array" ref="F8">IF(F1&lt;&gt;"",HYPERLINK(PreviewColor(F8,F4,F5,F6),F3),"")</f>
        <v/>
      </c>
      <c r="G8" s="15" t="str" cm="1">
        <f t="array" ref="G8">IF(G1&lt;&gt;"",HYPERLINK(PreviewColor(G8,G4,G5,G6),G3),"")</f>
        <v/>
      </c>
      <c r="H8" s="15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24" activePane="bottomLeft" state="frozen"/>
      <selection pane="bottomLeft" activeCell="E43" sqref="E43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94</v>
      </c>
      <c r="E1" s="3" t="e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#VALUE!</v>
      </c>
      <c r="F1" s="3" t="e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#VALUE!</v>
      </c>
      <c r="G1" s="3" t="e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#VALUE!</v>
      </c>
      <c r="H1" s="3" t="e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#VALUE!</v>
      </c>
      <c r="I1" s="3" t="e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#VALUE!</v>
      </c>
      <c r="J1" s="3" t="e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#VALUE!</v>
      </c>
      <c r="K1" s="3" t="e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#VALUE!</v>
      </c>
      <c r="L1" s="3" t="e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#VALUE!</v>
      </c>
      <c r="M1" s="3" t="e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#VALUE!</v>
      </c>
      <c r="N1" s="3" t="e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#VALUE!</v>
      </c>
      <c r="O1" s="3" t="e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#VALUE!</v>
      </c>
      <c r="P1" s="3" t="e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#VALUE!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87</v>
      </c>
    </row>
    <row r="3" spans="1:19" x14ac:dyDescent="0.25">
      <c r="A3" s="1" t="s">
        <v>9</v>
      </c>
      <c r="B3" s="1" t="s">
        <v>12</v>
      </c>
      <c r="C3" s="1" t="s">
        <v>86</v>
      </c>
      <c r="D3" s="1" t="s">
        <v>3</v>
      </c>
      <c r="E3" s="12" t="s">
        <v>26</v>
      </c>
      <c r="F3" s="12" t="s">
        <v>28</v>
      </c>
      <c r="G3" s="12" t="s">
        <v>27</v>
      </c>
      <c r="H3" s="12" t="s">
        <v>88</v>
      </c>
      <c r="I3" s="12" t="s">
        <v>32</v>
      </c>
      <c r="J3" s="12" t="s">
        <v>33</v>
      </c>
      <c r="K3" s="13" t="s">
        <v>34</v>
      </c>
      <c r="L3" s="13" t="s">
        <v>89</v>
      </c>
      <c r="M3" s="13" t="s">
        <v>29</v>
      </c>
      <c r="N3" s="13" t="s">
        <v>30</v>
      </c>
      <c r="O3" s="13" t="s">
        <v>31</v>
      </c>
      <c r="P3" s="13" t="s">
        <v>90</v>
      </c>
      <c r="Q3" s="13"/>
      <c r="R3" s="13"/>
      <c r="S3" s="13"/>
    </row>
    <row r="4" spans="1:19" x14ac:dyDescent="0.25">
      <c r="A4" t="str" cm="1">
        <f t="array" ref="A4">_xll.AuLiComGetFixtureChannelInfos()</f>
        <v>#ERROR: Must initialize AuLiCom's Excel runtime before calling AuLiComGetFixtureChannelInfos.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5:19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5:19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5:19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5:19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5:19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5:19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5:19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5:19" x14ac:dyDescent="0.25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5:19" x14ac:dyDescent="0.25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5:19" x14ac:dyDescent="0.25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5:19" x14ac:dyDescent="0.25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5:19" x14ac:dyDescent="0.25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5:19" x14ac:dyDescent="0.25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5:19" x14ac:dyDescent="0.25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5:19" x14ac:dyDescent="0.2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5:19" x14ac:dyDescent="0.2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5:19" x14ac:dyDescent="0.2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5:19" x14ac:dyDescent="0.2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5:19" x14ac:dyDescent="0.2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5:19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5:19" x14ac:dyDescent="0.2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5:19" x14ac:dyDescent="0.2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5:19" x14ac:dyDescent="0.2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5:19" x14ac:dyDescent="0.2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5:19" x14ac:dyDescent="0.2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5:19" x14ac:dyDescent="0.25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5:19" x14ac:dyDescent="0.25"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5:19" x14ac:dyDescent="0.25"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5:19" x14ac:dyDescent="0.25"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5:19" x14ac:dyDescent="0.25"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5:19" x14ac:dyDescent="0.25"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5:19" x14ac:dyDescent="0.25"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5:19" x14ac:dyDescent="0.25"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5:19" x14ac:dyDescent="0.25"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5:19" x14ac:dyDescent="0.25"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5:19" x14ac:dyDescent="0.25"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5:19" x14ac:dyDescent="0.25"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5:19" x14ac:dyDescent="0.25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workbookViewId="0">
      <selection activeCell="A4" sqref="A4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/>
      <c r="C4" t="str" cm="1">
        <f t="array" ref="C4">_xll.AuLiComGetFixtureChannelInfos()</f>
        <v>#ERROR: Must initialize AuLiCom's Excel runtime before calling AuLiComGetFixtureChannelInfos.</v>
      </c>
      <c r="G4" t="e" cm="1">
        <f t="array" aca="1" ref="G4" ca="1">_xll.AuLiComGetChannelValues(OFFSET($F$4,0,0,_xll.AuLiComGetFixtureChannelCountTotal(),1))</f>
        <v>#VALUE!</v>
      </c>
      <c r="H4" s="2">
        <v>0</v>
      </c>
      <c r="I4" s="3" cm="1">
        <f t="array" ref="I4">IF(ChannelManualMode,_xll.AuLiComSetChannelValue(F4,H4*ChannelMaster%),"")</f>
        <v>0</v>
      </c>
    </row>
    <row r="5" spans="1:9" x14ac:dyDescent="0.25">
      <c r="H5" s="2">
        <v>0</v>
      </c>
      <c r="I5" s="3" cm="1">
        <f t="array" ref="I5">IF(ChannelManualMode,_xll.AuLiComSetChannelValue(F5,H5*ChannelMaster%),"")</f>
        <v>0</v>
      </c>
    </row>
    <row r="6" spans="1:9" x14ac:dyDescent="0.25">
      <c r="A6" s="1" t="s">
        <v>17</v>
      </c>
      <c r="H6" s="2">
        <v>0</v>
      </c>
      <c r="I6" s="3" cm="1">
        <f t="array" ref="I6">IF(ChannelManualMode,_xll.AuLiComSetChannelValue(F6,H6*ChannelMaster%),"")</f>
        <v>0</v>
      </c>
    </row>
    <row r="7" spans="1:9" x14ac:dyDescent="0.25">
      <c r="A7" s="6" t="str" cm="1">
        <f t="array" ref="A7">IF(A4="","no command",_xll.AuLiComExecuteCommand(DmxVersion,A4))</f>
        <v>no command</v>
      </c>
      <c r="H7" s="2">
        <v>0</v>
      </c>
      <c r="I7" s="3" cm="1">
        <f t="array" ref="I7">IF(ChannelManualMode,_xll.AuLiComSetChannelValue(F7,H7*ChannelMaster%),"")</f>
        <v>0</v>
      </c>
    </row>
    <row r="8" spans="1:9" x14ac:dyDescent="0.25">
      <c r="A8" s="6"/>
      <c r="H8" s="2">
        <v>0</v>
      </c>
      <c r="I8" s="3" cm="1">
        <f t="array" ref="I8">IF(ChannelManualMode,_xll.AuLiComSetChannelValue(F8,H8*ChannelMaster%),"")</f>
        <v>0</v>
      </c>
    </row>
    <row r="9" spans="1:9" x14ac:dyDescent="0.25">
      <c r="A9" s="6"/>
      <c r="H9" s="2">
        <v>0</v>
      </c>
      <c r="I9" s="3" cm="1">
        <f t="array" ref="I9">IF(ChannelManualMode,_xll.AuLiComSetChannelValue(F9,H9*ChannelMaster%),"")</f>
        <v>0</v>
      </c>
    </row>
    <row r="10" spans="1:9" x14ac:dyDescent="0.25">
      <c r="A10" s="6"/>
      <c r="H10" s="2">
        <v>0</v>
      </c>
      <c r="I10" s="3" cm="1">
        <f t="array" ref="I10">IF(ChannelManualMode,_xll.AuLiComSetChannelValue(F10,H10*ChannelMaster%),"")</f>
        <v>0</v>
      </c>
    </row>
    <row r="11" spans="1:9" x14ac:dyDescent="0.25">
      <c r="A11" s="6"/>
      <c r="H11" s="2">
        <v>0</v>
      </c>
      <c r="I11" s="3" cm="1">
        <f t="array" ref="I11">IF(ChannelManualMode,_xll.AuLiComSetChannelValue(F11,H11*ChannelMaster%),"")</f>
        <v>0</v>
      </c>
    </row>
    <row r="12" spans="1:9" x14ac:dyDescent="0.25">
      <c r="A12" s="6"/>
      <c r="H12" s="2">
        <v>0</v>
      </c>
      <c r="I12" s="3" cm="1">
        <f t="array" ref="I12">IF(ChannelManualMode,_xll.AuLiComSetChannelValue(F12,H12*ChannelMaster%),"")</f>
        <v>0</v>
      </c>
    </row>
    <row r="13" spans="1:9" x14ac:dyDescent="0.25">
      <c r="A13" s="6"/>
      <c r="H13" s="2">
        <v>0</v>
      </c>
      <c r="I13" s="3" cm="1">
        <f t="array" ref="I13">IF(ChannelManualMode,_xll.AuLiComSetChannelValue(F13,H13*ChannelMaster%),"")</f>
        <v>0</v>
      </c>
    </row>
    <row r="14" spans="1:9" x14ac:dyDescent="0.25">
      <c r="A14" s="6"/>
      <c r="H14" s="2">
        <v>0</v>
      </c>
      <c r="I14" s="3" cm="1">
        <f t="array" ref="I14">IF(ChannelManualMode,_xll.AuLiComSetChannelValue(F14,H14*ChannelMaster%),"")</f>
        <v>0</v>
      </c>
    </row>
    <row r="15" spans="1:9" x14ac:dyDescent="0.25">
      <c r="A15" s="6"/>
      <c r="H15" s="2">
        <v>0</v>
      </c>
      <c r="I15" s="3" cm="1">
        <f t="array" ref="I15">IF(ChannelManualMode,_xll.AuLiComSetChannelValue(F15,H15*ChannelMaster%),"")</f>
        <v>0</v>
      </c>
    </row>
    <row r="16" spans="1:9" x14ac:dyDescent="0.25">
      <c r="A16" s="6"/>
      <c r="H16" s="2">
        <v>0</v>
      </c>
      <c r="I16" s="3" cm="1">
        <f t="array" ref="I16">IF(ChannelManualMode,_xll.AuLiComSetChannelValue(F16,H16*ChannelMaster%),"")</f>
        <v>0</v>
      </c>
    </row>
    <row r="17" spans="1:9" x14ac:dyDescent="0.25">
      <c r="A17" s="6"/>
      <c r="H17" s="2">
        <v>0</v>
      </c>
      <c r="I17" s="3" cm="1">
        <f t="array" ref="I17">IF(ChannelManualMode,_xll.AuLiComSetChannelValue(F17,H17*ChannelMaster%),"")</f>
        <v>0</v>
      </c>
    </row>
    <row r="18" spans="1:9" x14ac:dyDescent="0.25">
      <c r="A18" s="6"/>
      <c r="H18" s="2">
        <v>0</v>
      </c>
      <c r="I18" s="3" cm="1">
        <f t="array" ref="I18">IF(ChannelManualMode,_xll.AuLiComSetChannelValue(F18,H18*ChannelMaster%),"")</f>
        <v>0</v>
      </c>
    </row>
    <row r="19" spans="1:9" x14ac:dyDescent="0.25">
      <c r="A19" s="6"/>
      <c r="H19" s="2">
        <v>0</v>
      </c>
      <c r="I19" s="3" cm="1">
        <f t="array" ref="I19">IF(ChannelManualMode,_xll.AuLiComSetChannelValue(F19,H19*ChannelMaster%),"")</f>
        <v>0</v>
      </c>
    </row>
    <row r="20" spans="1:9" x14ac:dyDescent="0.25">
      <c r="A20" s="6"/>
      <c r="H20" s="2">
        <v>0</v>
      </c>
      <c r="I20" s="3" cm="1">
        <f t="array" ref="I20">IF(ChannelManualMode,_xll.AuLiComSetChannelValue(F20,H20*ChannelMaster%),"")</f>
        <v>0</v>
      </c>
    </row>
    <row r="21" spans="1:9" x14ac:dyDescent="0.25">
      <c r="A21" s="6"/>
      <c r="H21" s="2">
        <v>0</v>
      </c>
      <c r="I21" s="3" cm="1">
        <f t="array" ref="I21">IF(ChannelManualMode,_xll.AuLiComSetChannelValue(F21,H21*ChannelMaster%),"")</f>
        <v>0</v>
      </c>
    </row>
    <row r="22" spans="1:9" x14ac:dyDescent="0.25">
      <c r="A22" s="6"/>
      <c r="H22" s="2">
        <v>0</v>
      </c>
      <c r="I22" s="3" cm="1">
        <f t="array" ref="I22">IF(ChannelManualMode,_xll.AuLiComSetChannelValue(F22,H22*ChannelMaster%),"")</f>
        <v>0</v>
      </c>
    </row>
    <row r="23" spans="1:9" x14ac:dyDescent="0.25">
      <c r="A23" s="6"/>
      <c r="H23" s="2">
        <v>0</v>
      </c>
      <c r="I23" s="3" cm="1">
        <f t="array" ref="I23">IF(ChannelManualMode,_xll.AuLiComSetChannelValue(F23,H23*ChannelMaster%),"")</f>
        <v>0</v>
      </c>
    </row>
    <row r="24" spans="1:9" x14ac:dyDescent="0.25">
      <c r="A24" s="6"/>
      <c r="H24" s="2">
        <v>0</v>
      </c>
      <c r="I24" s="3" cm="1">
        <f t="array" ref="I24">IF(ChannelManualMode,_xll.AuLiComSetChannelValue(F24,H24*ChannelMaster%),"")</f>
        <v>0</v>
      </c>
    </row>
    <row r="25" spans="1:9" x14ac:dyDescent="0.25">
      <c r="A25" s="6"/>
      <c r="H25" s="2">
        <v>0</v>
      </c>
      <c r="I25" s="3" cm="1">
        <f t="array" ref="I25">IF(ChannelManualMode,_xll.AuLiComSetChannelValue(F25,H25*ChannelMaster%),"")</f>
        <v>0</v>
      </c>
    </row>
    <row r="26" spans="1:9" x14ac:dyDescent="0.25">
      <c r="A26" s="6"/>
      <c r="H26" s="2">
        <v>0</v>
      </c>
      <c r="I26" s="3" cm="1">
        <f t="array" ref="I26">IF(ChannelManualMode,_xll.AuLiComSetChannelValue(F26,H26*ChannelMaster%),"")</f>
        <v>0</v>
      </c>
    </row>
    <row r="27" spans="1:9" x14ac:dyDescent="0.25">
      <c r="A27" s="6"/>
      <c r="H27" s="2">
        <v>0</v>
      </c>
      <c r="I27" s="3" cm="1">
        <f t="array" ref="I27">IF(ChannelManualMode,_xll.AuLiComSetChannelValue(F27,H27*ChannelMaster%),"")</f>
        <v>0</v>
      </c>
    </row>
    <row r="28" spans="1:9" x14ac:dyDescent="0.25">
      <c r="A28" s="6"/>
      <c r="H28" s="2">
        <v>0</v>
      </c>
      <c r="I28" s="3" cm="1">
        <f t="array" ref="I28">IF(ChannelManualMode,_xll.AuLiComSetChannelValue(F28,H28*ChannelMaster%),"")</f>
        <v>0</v>
      </c>
    </row>
    <row r="29" spans="1:9" x14ac:dyDescent="0.25">
      <c r="A29" s="6"/>
      <c r="H29" s="2">
        <v>0</v>
      </c>
      <c r="I29" s="3" cm="1">
        <f t="array" ref="I29">IF(ChannelManualMode,_xll.AuLiComSetChannelValue(F29,H29*ChannelMaster%),"")</f>
        <v>0</v>
      </c>
    </row>
    <row r="30" spans="1:9" x14ac:dyDescent="0.25">
      <c r="A30" s="6"/>
      <c r="H30" s="2">
        <v>0</v>
      </c>
      <c r="I30" s="3" cm="1">
        <f t="array" ref="I30">IF(ChannelManualMode,_xll.AuLiComSetChannelValue(F30,H30*ChannelMaster%),"")</f>
        <v>0</v>
      </c>
    </row>
    <row r="31" spans="1:9" x14ac:dyDescent="0.25">
      <c r="A31" s="6"/>
      <c r="H31" s="2">
        <v>0</v>
      </c>
      <c r="I31" s="3" cm="1">
        <f t="array" ref="I31">IF(ChannelManualMode,_xll.AuLiComSetChannelValue(F31,H31*ChannelMaster%),"")</f>
        <v>0</v>
      </c>
    </row>
    <row r="32" spans="1:9" x14ac:dyDescent="0.25">
      <c r="A32" s="6"/>
      <c r="H32" s="2">
        <v>0</v>
      </c>
      <c r="I32" s="3" cm="1">
        <f t="array" ref="I32">IF(ChannelManualMode,_xll.AuLiComSetChannelValue(F32,H32*ChannelMaster%),"")</f>
        <v>0</v>
      </c>
    </row>
    <row r="33" spans="1:9" x14ac:dyDescent="0.25">
      <c r="A33" s="6"/>
      <c r="H33" s="2">
        <v>0</v>
      </c>
      <c r="I33" s="3" cm="1">
        <f t="array" ref="I33">IF(ChannelManualMode,_xll.AuLiComSetChannelValue(F33,H33*ChannelMaster%),"")</f>
        <v>0</v>
      </c>
    </row>
    <row r="34" spans="1:9" x14ac:dyDescent="0.25">
      <c r="A34" s="6"/>
      <c r="H34" s="2">
        <v>0</v>
      </c>
      <c r="I34" s="3" cm="1">
        <f t="array" ref="I34">IF(ChannelManualMode,_xll.AuLiComSetChannelValue(F34,H34*ChannelMaster%),"")</f>
        <v>0</v>
      </c>
    </row>
    <row r="35" spans="1:9" x14ac:dyDescent="0.25">
      <c r="A35" s="6"/>
      <c r="H35" s="2">
        <v>0</v>
      </c>
      <c r="I35" s="3" cm="1">
        <f t="array" ref="I35">IF(ChannelManualMode,_xll.AuLiComSetChannelValue(F35,H35*ChannelMaster%),"")</f>
        <v>0</v>
      </c>
    </row>
    <row r="36" spans="1:9" x14ac:dyDescent="0.25">
      <c r="A36" s="6"/>
      <c r="H36" s="2">
        <v>0</v>
      </c>
      <c r="I36" s="3" cm="1">
        <f t="array" ref="I36">IF(ChannelManualMode,_xll.AuLiComSetChannelValue(F36,H36*ChannelMaster%),"")</f>
        <v>0</v>
      </c>
    </row>
    <row r="37" spans="1:9" x14ac:dyDescent="0.25">
      <c r="A37" s="6"/>
      <c r="H37" s="2">
        <v>0</v>
      </c>
      <c r="I37" s="3" cm="1">
        <f t="array" ref="I37">IF(ChannelManualMode,_xll.AuLiComSetChannelValue(F37,H37*ChannelMaster%),"")</f>
        <v>0</v>
      </c>
    </row>
    <row r="38" spans="1:9" x14ac:dyDescent="0.25">
      <c r="A38" s="6"/>
      <c r="H38" s="2">
        <v>0</v>
      </c>
      <c r="I38" s="3" cm="1">
        <f t="array" ref="I38">IF(ChannelManualMode,_xll.AuLiComSetChannelValue(F38,H38*ChannelMaster%),"")</f>
        <v>0</v>
      </c>
    </row>
    <row r="39" spans="1:9" x14ac:dyDescent="0.25">
      <c r="A39" s="6"/>
      <c r="H39" s="2">
        <v>0</v>
      </c>
      <c r="I39" s="3" cm="1">
        <f t="array" ref="I39">IF(ChannelManualMode,_xll.AuLiComSetChannelValue(F39,H39*ChannelMaster%),"")</f>
        <v>0</v>
      </c>
    </row>
    <row r="40" spans="1:9" x14ac:dyDescent="0.25">
      <c r="A40" s="6"/>
      <c r="H40" s="2">
        <v>0</v>
      </c>
      <c r="I40" s="3" cm="1">
        <f t="array" ref="I40">IF(ChannelManualMode,_xll.AuLiComSetChannelValue(F40,H40*ChannelMaster%),"")</f>
        <v>0</v>
      </c>
    </row>
    <row r="41" spans="1:9" x14ac:dyDescent="0.25">
      <c r="A41" s="6"/>
      <c r="H41" s="2">
        <v>0</v>
      </c>
      <c r="I41" s="3" cm="1">
        <f t="array" ref="I41">IF(ChannelManualMode,_xll.AuLiComSetChannelValue(F41,H41*ChannelMaster%),"")</f>
        <v>0</v>
      </c>
    </row>
    <row r="42" spans="1:9" x14ac:dyDescent="0.25">
      <c r="A42" s="6"/>
      <c r="H42" s="2">
        <v>0</v>
      </c>
      <c r="I42" s="3" cm="1">
        <f t="array" ref="I42">IF(ChannelManualMode,_xll.AuLiComSetChannelValue(F42,H42*ChannelMaster%),"")</f>
        <v>0</v>
      </c>
    </row>
    <row r="43" spans="1:9" x14ac:dyDescent="0.25">
      <c r="A43" s="6"/>
      <c r="H43" s="2">
        <v>0</v>
      </c>
      <c r="I43" s="3" cm="1">
        <f t="array" ref="I43">IF(ChannelManualMode,_xll.AuLiComSetChannelValue(F43,H43*ChannelMaster%),"")</f>
        <v>0</v>
      </c>
    </row>
    <row r="44" spans="1:9" x14ac:dyDescent="0.25">
      <c r="A44" s="6"/>
      <c r="H44" s="2">
        <v>0</v>
      </c>
      <c r="I44" s="3" cm="1">
        <f t="array" ref="I44">IF(ChannelManualMode,_xll.AuLiComSetChannelValue(F44,H44*ChannelMaster%),"")</f>
        <v>0</v>
      </c>
    </row>
    <row r="45" spans="1:9" x14ac:dyDescent="0.25">
      <c r="A45" s="6"/>
      <c r="H45" s="2">
        <v>0</v>
      </c>
      <c r="I45" s="3" cm="1">
        <f t="array" ref="I45">IF(ChannelManualMode,_xll.AuLiComSetChannelValue(F45,H45*ChannelMaster%),"")</f>
        <v>0</v>
      </c>
    </row>
    <row r="46" spans="1:9" x14ac:dyDescent="0.25">
      <c r="A46" s="6"/>
      <c r="H46" s="2">
        <v>0</v>
      </c>
      <c r="I46" s="3" cm="1">
        <f t="array" ref="I46">IF(ChannelManualMode,_xll.AuLiComSetChannelValue(F46,H46*ChannelMaster%),"")</f>
        <v>0</v>
      </c>
    </row>
    <row r="47" spans="1:9" x14ac:dyDescent="0.25">
      <c r="A47" s="6"/>
      <c r="H47" s="2">
        <v>0</v>
      </c>
      <c r="I47" s="3" cm="1">
        <f t="array" ref="I47">IF(ChannelManualMode,_xll.AuLiComSetChannelValue(F47,H47*ChannelMaster%),"")</f>
        <v>0</v>
      </c>
    </row>
    <row r="48" spans="1:9" x14ac:dyDescent="0.25">
      <c r="A48" s="6"/>
      <c r="H48" s="2">
        <v>0</v>
      </c>
      <c r="I48" s="3" cm="1">
        <f t="array" ref="I48">IF(ChannelManualMode,_xll.AuLiComSetChannelValue(F48,H48*ChannelMaster%),"")</f>
        <v>0</v>
      </c>
    </row>
    <row r="49" spans="1:9" x14ac:dyDescent="0.25">
      <c r="A49" s="6"/>
      <c r="H49" s="2">
        <v>0</v>
      </c>
      <c r="I49" s="3" cm="1">
        <f t="array" ref="I49">IF(ChannelManualMode,_xll.AuLiComSetChannelValue(F49,H49*ChannelMaster%),"")</f>
        <v>0</v>
      </c>
    </row>
    <row r="50" spans="1:9" x14ac:dyDescent="0.25">
      <c r="A50" s="6"/>
      <c r="H50" s="2">
        <v>0</v>
      </c>
      <c r="I50" s="3" cm="1">
        <f t="array" ref="I50">IF(ChannelManualMode,_xll.AuLiComSetChannelValue(F50,H50*ChannelMaster%),"")</f>
        <v>0</v>
      </c>
    </row>
    <row r="51" spans="1:9" x14ac:dyDescent="0.25">
      <c r="A51" s="6"/>
      <c r="H51" s="2">
        <v>0</v>
      </c>
      <c r="I51" s="3" cm="1">
        <f t="array" ref="I51">IF(ChannelManualMode,_xll.AuLiComSetChannelValue(F51,H51*ChannelMaster%),"")</f>
        <v>0</v>
      </c>
    </row>
    <row r="52" spans="1:9" x14ac:dyDescent="0.25">
      <c r="A52" s="6"/>
      <c r="H52" s="2">
        <v>0</v>
      </c>
      <c r="I52" s="3" cm="1">
        <f t="array" ref="I52">IF(ChannelManualMode,_xll.AuLiComSetChannelValue(F52,H52*ChannelMaster%),"")</f>
        <v>0</v>
      </c>
    </row>
    <row r="53" spans="1:9" x14ac:dyDescent="0.25">
      <c r="A53" s="6"/>
      <c r="H53" s="2">
        <v>0</v>
      </c>
      <c r="I53" s="3" cm="1">
        <f t="array" ref="I53">IF(ChannelManualMode,_xll.AuLiComSetChannelValue(F53,H53*ChannelMaster%),"")</f>
        <v>0</v>
      </c>
    </row>
    <row r="54" spans="1:9" x14ac:dyDescent="0.25">
      <c r="H54" s="2">
        <v>0</v>
      </c>
      <c r="I54" s="3" cm="1">
        <f t="array" ref="I54">IF(ChannelManualMode,_xll.AuLiComSetChannelValue(F54,H54*ChannelMaster%),"")</f>
        <v>0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">_xll.AuLiComGetScenes()</f>
        <v>#ERROR: Must initialize AuLiCom's Excel runtime before calling AuLiComGetScenes.</v>
      </c>
      <c r="B2" s="9">
        <v>1</v>
      </c>
    </row>
    <row r="3" spans="1:2" x14ac:dyDescent="0.25">
      <c r="B3" s="9">
        <v>1</v>
      </c>
    </row>
    <row r="4" spans="1:2" x14ac:dyDescent="0.25">
      <c r="B4" s="9">
        <v>1</v>
      </c>
    </row>
    <row r="5" spans="1:2" x14ac:dyDescent="0.25">
      <c r="B5" s="9">
        <v>1</v>
      </c>
    </row>
    <row r="6" spans="1:2" x14ac:dyDescent="0.25">
      <c r="B6" s="9">
        <v>1</v>
      </c>
    </row>
    <row r="7" spans="1:2" x14ac:dyDescent="0.25">
      <c r="B7" s="9">
        <v>1</v>
      </c>
    </row>
    <row r="8" spans="1:2" x14ac:dyDescent="0.25">
      <c r="B8" s="9">
        <v>1</v>
      </c>
    </row>
    <row r="9" spans="1:2" x14ac:dyDescent="0.25">
      <c r="B9" s="9">
        <v>1</v>
      </c>
    </row>
    <row r="10" spans="1:2" x14ac:dyDescent="0.25">
      <c r="B10" s="9">
        <v>1</v>
      </c>
    </row>
    <row r="11" spans="1:2" x14ac:dyDescent="0.25">
      <c r="B11" s="9">
        <v>1</v>
      </c>
    </row>
    <row r="12" spans="1:2" x14ac:dyDescent="0.25">
      <c r="B12" s="9">
        <v>1</v>
      </c>
    </row>
    <row r="13" spans="1:2" x14ac:dyDescent="0.25"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5" sqref="B5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" t="s">
        <v>25</v>
      </c>
      <c r="B4" s="2" t="s">
        <v>24</v>
      </c>
      <c r="C4" s="2">
        <v>100</v>
      </c>
      <c r="D4" s="2" t="s">
        <v>26</v>
      </c>
      <c r="E4" s="2" t="s">
        <v>28</v>
      </c>
      <c r="F4" s="2" t="s">
        <v>27</v>
      </c>
      <c r="G4" s="2" t="s">
        <v>88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35</v>
      </c>
      <c r="B5" s="2" t="s">
        <v>36</v>
      </c>
      <c r="C5" s="2">
        <v>150</v>
      </c>
      <c r="D5" s="2" t="s">
        <v>26</v>
      </c>
      <c r="E5" s="2" t="s">
        <v>28</v>
      </c>
      <c r="F5" s="2" t="s">
        <v>27</v>
      </c>
      <c r="G5" s="2" t="s">
        <v>88</v>
      </c>
      <c r="H5" s="2" t="s">
        <v>32</v>
      </c>
      <c r="I5" s="2" t="s">
        <v>33</v>
      </c>
      <c r="J5" s="2" t="s">
        <v>34</v>
      </c>
      <c r="K5" s="2" t="s">
        <v>89</v>
      </c>
      <c r="L5" s="2" t="s">
        <v>29</v>
      </c>
      <c r="M5" s="2" t="s">
        <v>30</v>
      </c>
      <c r="N5" s="2" t="s">
        <v>31</v>
      </c>
      <c r="O5" s="2" t="s">
        <v>90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2023-08-19T18:45:47Z</dcterms:modified>
</cp:coreProperties>
</file>