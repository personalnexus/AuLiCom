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688" documentId="8_{33E53E1F-A3F6-4075-900F-54641BCFD3E8}" xr6:coauthVersionLast="47" xr6:coauthVersionMax="47" xr10:uidLastSave="{6A7A0094-2FCF-47E8-A8A1-7D42E5579BE7}"/>
  <bookViews>
    <workbookView xWindow="11310" yWindow="3255" windowWidth="28800" windowHeight="15435" xr2:uid="{AB2CF87F-81B4-4088-AE2E-2820582A8761}"/>
  </bookViews>
  <sheets>
    <sheet name="Overview" sheetId="1" r:id="rId1"/>
    <sheet name="Scenes" sheetId="2" r:id="rId2"/>
    <sheet name="Fixtures" sheetId="3" r:id="rId3"/>
  </sheets>
  <definedNames>
    <definedName name="ChannelManualMode">Overview!$K$1</definedName>
    <definedName name="ChannelMaster">Overview!$J$1</definedName>
    <definedName name="ChannelsVersion">Overview!$A$12</definedName>
    <definedName name="DmxVersion">Overview!$A$9</definedName>
    <definedName name="FixturesVersion">Overview!$A$10</definedName>
    <definedName name="FixtureTypes">OFFSET(Fixtures!$A$1,1,0,COUNTA(Fixtures!$A:$A)-1)</definedName>
    <definedName name="ScenesVersion">Overview!$A$11</definedName>
    <definedName name="SelectedPort">Overview!$A$8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3" l="1"/>
  <c r="G7" i="3" s="1" a="1"/>
  <c r="G7" i="3" s="1"/>
  <c r="B19" i="2" a="1"/>
  <c r="B19" i="2" s="1"/>
  <c r="B18" i="2" a="1"/>
  <c r="B18" i="2" s="1"/>
  <c r="B7" i="2"/>
  <c r="B8" i="2" s="1"/>
  <c r="B9" i="2" s="1"/>
  <c r="B10" i="2" s="1"/>
  <c r="B11" i="2" s="1"/>
  <c r="B12" i="2" s="1"/>
  <c r="B13" i="2" s="1"/>
  <c r="B14" i="2" s="1"/>
  <c r="A5" i="1" a="1"/>
  <c r="A25" i="1" a="1"/>
  <c r="A9" i="1" a="1"/>
  <c r="A5" i="1" l="1"/>
  <c r="A9" i="1"/>
  <c r="F7" i="3" a="1"/>
  <c r="F7" i="3" s="1"/>
  <c r="A25" i="1"/>
  <c r="C7" i="1" a="1"/>
  <c r="D5" i="2" a="1"/>
  <c r="G2" i="3" a="1"/>
  <c r="B20" i="2" a="1"/>
  <c r="A2" i="3" a="1"/>
  <c r="E5" i="2" a="1"/>
  <c r="F5" i="2" a="1"/>
  <c r="C5" i="2" a="1"/>
  <c r="A12" i="1" a="1"/>
  <c r="A10" i="1" a="1"/>
  <c r="A11" i="1" a="1"/>
  <c r="A12" i="1" l="1"/>
  <c r="A10" i="1"/>
  <c r="A11" i="1"/>
  <c r="F5" i="2"/>
  <c r="G2" i="3"/>
  <c r="E5" i="2"/>
  <c r="D5" i="2"/>
  <c r="C5" i="2"/>
  <c r="A2" i="3"/>
  <c r="B20" i="2"/>
  <c r="C7" i="1"/>
  <c r="I7" i="1" a="1"/>
  <c r="I18" i="1" a="1"/>
  <c r="F2" i="3" a="1"/>
  <c r="A24" i="2" a="1"/>
  <c r="E4" i="1" a="1"/>
  <c r="K7" i="1" a="1"/>
  <c r="K8" i="1" a="1"/>
  <c r="K11" i="1" a="1"/>
  <c r="K12" i="1" a="1"/>
  <c r="K15" i="1" a="1"/>
  <c r="K13" i="1" a="1"/>
  <c r="K9" i="1" a="1"/>
  <c r="K14" i="1" a="1"/>
  <c r="K10" i="1" a="1"/>
  <c r="I8" i="1" a="1"/>
  <c r="I10" i="1" a="1"/>
  <c r="I12" i="1" a="1"/>
  <c r="I14" i="1" a="1"/>
  <c r="I13" i="1" a="1"/>
  <c r="I9" i="1" a="1"/>
  <c r="I11" i="1" a="1"/>
  <c r="I15" i="1" a="1"/>
  <c r="I16" i="1" a="1"/>
  <c r="I17" i="1" a="1"/>
  <c r="I7" i="1" l="1"/>
  <c r="I8" i="1"/>
  <c r="I10" i="1"/>
  <c r="I12" i="1"/>
  <c r="I14" i="1"/>
  <c r="I16" i="1"/>
  <c r="I18" i="1"/>
  <c r="I13" i="1"/>
  <c r="I17" i="1"/>
  <c r="I9" i="1"/>
  <c r="I11" i="1"/>
  <c r="I15" i="1"/>
  <c r="K10" i="1"/>
  <c r="K11" i="1"/>
  <c r="K15" i="1"/>
  <c r="K8" i="1"/>
  <c r="K7" i="1"/>
  <c r="K12" i="1"/>
  <c r="K13" i="1"/>
  <c r="K14" i="1"/>
  <c r="K9" i="1"/>
  <c r="E4" i="1"/>
  <c r="A24" i="2"/>
  <c r="F2" i="3"/>
  <c r="E3" i="3" s="1"/>
  <c r="G3" i="3" a="1"/>
  <c r="G3" i="3" l="1"/>
  <c r="F3" i="3" a="1"/>
  <c r="F3" i="3" l="1"/>
  <c r="E4" i="3" s="1"/>
  <c r="G4" i="3" a="1"/>
  <c r="G4" i="3" l="1"/>
  <c r="F4" i="3" a="1"/>
  <c r="F4" i="3" l="1"/>
  <c r="E5" i="3" s="1"/>
  <c r="G5" i="3" s="1" a="1"/>
  <c r="G5" i="3" l="1"/>
  <c r="F5" i="3" s="1" a="1"/>
  <c r="F5" i="3" l="1"/>
  <c r="E6" i="3" s="1"/>
  <c r="G6" i="3" s="1" a="1"/>
  <c r="G6" i="3" l="1"/>
  <c r="F6" i="3" s="1" a="1"/>
  <c r="F6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<sst xmlns="http://schemas.openxmlformats.org/spreadsheetml/2006/main" count="50" uniqueCount="46">
  <si>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</si>
  <si>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</si>
  <si>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</si>
  <si>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</si>
  <si>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</si>
  <si>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</si>
  <si>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</si>
  <si>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</si>
  <si>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</si>
  <si>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</si>
  <si>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</si>
  <si>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</si>
  <si>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</si>
  <si>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</si>
  <si>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</si>
  <si>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Refresh Interval (ms)</t>
  </si>
  <si>
    <t>Current Value (%)</t>
  </si>
  <si>
    <t>New Value (%)</t>
  </si>
  <si>
    <t>Selected Port</t>
  </si>
  <si>
    <t>COM6</t>
  </si>
  <si>
    <t>Mixed</t>
  </si>
  <si>
    <t>Select Scene with X --&gt;</t>
  </si>
  <si>
    <t>Selected Scene</t>
  </si>
  <si>
    <t>Fade Time</t>
  </si>
  <si>
    <t>Scene Name --&gt;</t>
  </si>
  <si>
    <t>Fade-in Seconds --&gt;</t>
  </si>
  <si>
    <t>All Scenes</t>
  </si>
  <si>
    <t>Black</t>
  </si>
  <si>
    <t>Red Only</t>
  </si>
  <si>
    <t>All</t>
  </si>
  <si>
    <t>Channel Master</t>
  </si>
  <si>
    <t>LED Bar</t>
  </si>
  <si>
    <t>CameoLedBar12Ch</t>
  </si>
  <si>
    <t>Channel Name</t>
  </si>
  <si>
    <t>Fixture Name</t>
  </si>
  <si>
    <t>Fixture Type</t>
  </si>
  <si>
    <t>Lamp1</t>
  </si>
  <si>
    <t>GenericLamp</t>
  </si>
  <si>
    <t>Type</t>
  </si>
  <si>
    <t>Start Channel</t>
  </si>
  <si>
    <t>Channel Count</t>
  </si>
  <si>
    <t>Available Fixture Types</t>
  </si>
  <si>
    <t>COMMANDS</t>
  </si>
  <si>
    <t>Input</t>
  </si>
  <si>
    <t>Output</t>
  </si>
  <si>
    <t>Lamp2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</si>
</sst>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0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9" fillId="0" borderId="0" xfId="0" applyFont="1"/>
    <xf numFmtId="49" fontId="10" fillId="2" borderId="1" xfId="2" applyNumberFormat="1" applyFill="1" applyBorder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</cellXfs>
  <cellStyles count="3">
    <cellStyle name="Hyperlink" xfId="2" builtinId="8"/>
    <cellStyle name="Input" xfId="1" builtinId="20"/>
    <cellStyle name="Normal" xfId="0" builtinId="0"/>
  </cellStyles>
  <dxfs count="4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47f28bbfde9d48c29b96b407f15abe0f">
      <tp>
        <v>5</v>
        <stp/>
        <stp>2e035c34-96c3-4cc7-af71-850d09d906f7</stp>
        <tr r="A11" s="1"/>
      </tp>
      <tp>
        <v>164</v>
        <stp/>
        <stp>e9f48dc7-fc94-4cf9-836b-ecdb59766d5d</stp>
        <tr r="A12" s="1"/>
      </tp>
    </main>
    <main first="rtdsrv_47f28bbfde9d48c29b96b407f15abe0f">
      <tp>
        <v>4</v>
        <stp/>
        <stp>c706002d-5fb1-4494-ad62-69654e3d8ec6</stp>
        <tr r="A10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volatileDependencies" Target="volatileDependencies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12</xdr:row>
          <xdr:rowOff>76200</xdr:rowOff>
        </xdr:from>
        <xdr:to>
          <xdr:col>0</xdr:col>
          <xdr:colOff>1038225</xdr:colOff>
          <xdr:row>13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447675</xdr:colOff>
          <xdr:row>1</xdr:row>
          <xdr:rowOff>38100</xdr:rowOff>
        </xdr:from>
        <xdr:to>
          <xdr:col>14</xdr:col>
          <xdr:colOff>209550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Scene...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L53"/>
  <sheetViews>
    <sheetView tabSelected="1" workbookViewId="0">
      <selection activeCell="J7" sqref="J7"/>
    </sheetView>
  </sheetViews>
  <sheetFormatPr defaultRowHeight="15" x14ac:dyDescent="0.25"/>
  <cols>
    <col min="1" max="1" width="21.7109375" customWidth="1"/>
    <col min="3" max="3" width="29.7109375" customWidth="1"/>
    <col min="5" max="5" width="13.140625" bestFit="1" customWidth="1"/>
    <col min="6" max="6" width="17.7109375" bestFit="1" customWidth="1"/>
    <col min="7" max="7" width="14.140625" bestFit="1" customWidth="1"/>
    <col min="8" max="8" width="8.28515625" bestFit="1" customWidth="1"/>
    <col min="9" max="9" width="17.140625" customWidth="1"/>
    <col min="10" max="10" width="14.28515625" bestFit="1" customWidth="1"/>
    <col min="11" max="11" width="22.140625" style="3" bestFit="1" customWidth="1"/>
  </cols>
  <sheetData>
    <row r="1" spans="1:12" x14ac:dyDescent="0.25">
      <c r="A1" s="1" t="s">
        <v>11</v>
      </c>
      <c r="C1" s="1" t="s">
        <v>42</v>
      </c>
      <c r="E1" s="1" t="s">
        <v>10</v>
      </c>
      <c r="I1" t="s">
        <v>30</v>
      </c>
      <c r="J1" s="2">
        <v>100</v>
      </c>
      <c r="K1" s="2" t="b">
        <v>1</v>
      </c>
    </row>
    <row r="2" spans="1:12" x14ac:dyDescent="0.25">
      <c r="G2" s="1"/>
    </row>
    <row r="3" spans="1:12" x14ac:dyDescent="0.25">
      <c r="A3" s="1" t="s">
        <v>15</v>
      </c>
      <c r="C3" s="1" t="s">
        <v>43</v>
      </c>
      <c r="E3" s="1" t="s">
        <v>34</v>
      </c>
      <c r="F3" s="1" t="s">
        <v>35</v>
      </c>
      <c r="G3" s="1" t="s">
        <v>33</v>
      </c>
      <c r="H3" s="1" t="s">
        <v>13</v>
      </c>
      <c r="I3" s="1" t="s">
        <v>16</v>
      </c>
      <c r="J3" s="1" t="s">
        <v>17</v>
      </c>
      <c r="K3" s="4" t="s">
        <v>14</v>
      </c>
      <c r="L3" s="1"/>
    </row>
    <row r="4" spans="1:12" x14ac:dyDescent="0.25">
      <c r="A4" s="2">
        <v>500</v>
      </c>
      <c r="C4" s="10"/>
      <c r="E4" t="str" cm="1">
        <f t="array" ref="E4:H17">_xll.AuLiComGetFixtureChannelInfos(FixturesVersion)</f>
        <v>LED Bar</v>
      </c>
      <c r="F4" t="str">
        <v>CameoLedBar12Ch</v>
      </c>
      <c r="G4" t="str">
        <v>Ignore1</v>
      </c>
      <c r="H4">
        <v>1</v>
      </c>
      <c r="K4"/>
    </row>
    <row r="5" spans="1:12" x14ac:dyDescent="0.25">
      <c r="A5" s="3" cm="1">
        <f t="array" ref="A5">_xll.AuLiComSetTimer(DmxVersion,A4)</f>
        <v>500</v>
      </c>
      <c r="E5" t="str">
        <v>LED Bar</v>
      </c>
      <c r="F5" t="str">
        <v>CameoLedBar12Ch</v>
      </c>
      <c r="G5" t="str">
        <v>Ignore2</v>
      </c>
      <c r="H5">
        <v>2</v>
      </c>
      <c r="K5"/>
    </row>
    <row r="6" spans="1:12" x14ac:dyDescent="0.25">
      <c r="C6" s="1" t="s">
        <v>44</v>
      </c>
      <c r="E6" t="str">
        <v>LED Bar</v>
      </c>
      <c r="F6" t="str">
        <v>CameoLedBar12Ch</v>
      </c>
      <c r="G6" t="str">
        <v>Ignore3</v>
      </c>
      <c r="H6">
        <v>3</v>
      </c>
      <c r="K6"/>
    </row>
    <row r="7" spans="1:12" x14ac:dyDescent="0.25">
      <c r="A7" s="1" t="s">
        <v>18</v>
      </c>
      <c r="C7" s="9" t="str" cm="1">
        <f t="array" ref="C7">IF(C4="","no command",_xll.AuLiComExecuteCommand(DmxVersion,C4))</f>
        <v>no command</v>
      </c>
      <c r="E7" t="str">
        <v>LED Bar</v>
      </c>
      <c r="F7" t="str">
        <v>CameoLedBar12Ch</v>
      </c>
      <c r="G7" t="str">
        <v>Red1</v>
      </c>
      <c r="H7">
        <v>4</v>
      </c>
      <c r="I7" cm="1">
        <f t="array" ref="I7">_xll.AuLiComGetChannelValue(ChannelsVersion,H7)</f>
        <v>0</v>
      </c>
      <c r="J7" s="2">
        <v>0</v>
      </c>
      <c r="K7" s="3" t="str" cm="1">
        <f t="array" ref="K7">IF(ChannelManualMode,_xll.AuLiComSetChannelValue(DmxVersion,H7,J7*ChannelMaster%),"")</f>
        <v>DMX:COM6</v>
      </c>
    </row>
    <row r="8" spans="1:12" x14ac:dyDescent="0.25">
      <c r="A8" s="2" t="s">
        <v>19</v>
      </c>
      <c r="C8" s="9"/>
      <c r="E8" t="str">
        <v>LED Bar</v>
      </c>
      <c r="F8" t="str">
        <v>CameoLedBar12Ch</v>
      </c>
      <c r="G8" t="str">
        <v>Green1</v>
      </c>
      <c r="H8">
        <v>5</v>
      </c>
      <c r="I8" cm="1">
        <f t="array" ref="I8">_xll.AuLiComGetChannelValue(ChannelsVersion,H8)</f>
        <v>0</v>
      </c>
      <c r="J8" s="2">
        <v>0</v>
      </c>
      <c r="K8" s="3" t="str" cm="1">
        <f t="array" ref="K8">IF(ChannelManualMode,_xll.AuLiComSetChannelValue(DmxVersion,H8,J8*ChannelMaster%),"")</f>
        <v>DMX:COM6</v>
      </c>
    </row>
    <row r="9" spans="1:12" x14ac:dyDescent="0.25">
      <c r="A9" s="3" t="str" cm="1">
        <f t="array" ref="A9">_xll.AuLiComSetDmxConnection(SelectedPort)</f>
        <v>DMX:COM6</v>
      </c>
      <c r="C9" s="9"/>
      <c r="E9" t="str">
        <v>LED Bar</v>
      </c>
      <c r="F9" t="str">
        <v>CameoLedBar12Ch</v>
      </c>
      <c r="G9" t="str">
        <v>Blue1</v>
      </c>
      <c r="H9">
        <v>6</v>
      </c>
      <c r="I9" cm="1">
        <f t="array" ref="I9">_xll.AuLiComGetChannelValue(ChannelsVersion,H9)</f>
        <v>0</v>
      </c>
      <c r="J9" s="2">
        <v>0</v>
      </c>
      <c r="K9" s="3" t="str" cm="1">
        <f t="array" ref="K9">IF(ChannelManualMode,_xll.AuLiComSetChannelValue(DmxVersion,H9,J9*ChannelMaster%),"")</f>
        <v>DMX:COM6</v>
      </c>
    </row>
    <row r="10" spans="1:12" x14ac:dyDescent="0.25">
      <c r="A10" s="3" t="str" cm="1">
        <f t="array" ref="A10">"FIXTURES:"&amp;_xll.AuLiComGetFixturesVersion(DmxVersion)</f>
        <v>FIXTURES:3</v>
      </c>
      <c r="C10" s="9"/>
      <c r="E10" t="str">
        <v>LED Bar</v>
      </c>
      <c r="F10" t="str">
        <v>CameoLedBar12Ch</v>
      </c>
      <c r="G10" t="str">
        <v>Red2</v>
      </c>
      <c r="H10">
        <v>7</v>
      </c>
      <c r="I10" cm="1">
        <f t="array" ref="I10">_xll.AuLiComGetChannelValue(ChannelsVersion,H10)</f>
        <v>0</v>
      </c>
      <c r="J10" s="2">
        <v>0</v>
      </c>
      <c r="K10" s="3" t="str" cm="1">
        <f t="array" ref="K10">IF(ChannelManualMode,_xll.AuLiComSetChannelValue(DmxVersion,H10,J10*ChannelMaster%),"")</f>
        <v>DMX:COM6</v>
      </c>
    </row>
    <row r="11" spans="1:12" x14ac:dyDescent="0.25">
      <c r="A11" s="3" t="str" cm="1">
        <f t="array" ref="A11">"SCENES:"&amp;_xll.AuLiComGetScenesVersion(DmxVersion)</f>
        <v>SCENES:4</v>
      </c>
      <c r="C11" s="9"/>
      <c r="E11" t="str">
        <v>LED Bar</v>
      </c>
      <c r="F11" t="str">
        <v>CameoLedBar12Ch</v>
      </c>
      <c r="G11" t="str">
        <v>Green2</v>
      </c>
      <c r="H11">
        <v>8</v>
      </c>
      <c r="I11" cm="1">
        <f t="array" ref="I11">_xll.AuLiComGetChannelValue(ChannelsVersion,H11)</f>
        <v>0</v>
      </c>
      <c r="J11" s="2">
        <v>0</v>
      </c>
      <c r="K11" s="3" t="str" cm="1">
        <f t="array" ref="K11">IF(ChannelManualMode,_xll.AuLiComSetChannelValue(DmxVersion,H11,J11*ChannelMaster%),"")</f>
        <v>DMX:COM6</v>
      </c>
    </row>
    <row r="12" spans="1:12" x14ac:dyDescent="0.25">
      <c r="A12" s="3" t="str" cm="1">
        <f t="array" ref="A12">"CHANNELS:"&amp;_xll.AuLiComGetChannelsVersion(DmxVersion)</f>
        <v>CHANNELS:163</v>
      </c>
      <c r="C12" s="9"/>
      <c r="E12" t="str">
        <v>LED Bar</v>
      </c>
      <c r="F12" t="str">
        <v>CameoLedBar12Ch</v>
      </c>
      <c r="G12" t="str">
        <v>Blue2</v>
      </c>
      <c r="H12">
        <v>9</v>
      </c>
      <c r="I12" cm="1">
        <f t="array" ref="I12">_xll.AuLiComGetChannelValue(ChannelsVersion,H12)</f>
        <v>0</v>
      </c>
      <c r="J12" s="2">
        <v>0</v>
      </c>
      <c r="K12" s="3" t="str" cm="1">
        <f t="array" ref="K12">IF(ChannelManualMode,_xll.AuLiComSetChannelValue(DmxVersion,H12,J12*ChannelMaster%),"")</f>
        <v>DMX:COM6</v>
      </c>
    </row>
    <row r="13" spans="1:12" x14ac:dyDescent="0.25">
      <c r="C13" s="9"/>
      <c r="E13" t="str">
        <v>LED Bar</v>
      </c>
      <c r="F13" t="str">
        <v>CameoLedBar12Ch</v>
      </c>
      <c r="G13" t="str">
        <v>Red3</v>
      </c>
      <c r="H13">
        <v>10</v>
      </c>
      <c r="I13" cm="1">
        <f t="array" ref="I13">_xll.AuLiComGetChannelValue(ChannelsVersion,H13)</f>
        <v>0</v>
      </c>
      <c r="J13" s="2">
        <v>0</v>
      </c>
      <c r="K13" s="3" t="str" cm="1">
        <f t="array" ref="K13">IF(ChannelManualMode,_xll.AuLiComSetChannelValue(DmxVersion,H13,J13*ChannelMaster%),"")</f>
        <v>DMX:COM6</v>
      </c>
    </row>
    <row r="14" spans="1:12" x14ac:dyDescent="0.25">
      <c r="C14" s="9"/>
      <c r="E14" t="str">
        <v>LED Bar</v>
      </c>
      <c r="F14" t="str">
        <v>CameoLedBar12Ch</v>
      </c>
      <c r="G14" t="str">
        <v>Green3</v>
      </c>
      <c r="H14">
        <v>11</v>
      </c>
      <c r="I14" cm="1">
        <f t="array" ref="I14">_xll.AuLiComGetChannelValue(ChannelsVersion,H14)</f>
        <v>0</v>
      </c>
      <c r="J14" s="2">
        <v>0</v>
      </c>
      <c r="K14" s="3" t="str" cm="1">
        <f t="array" ref="K14">IF(ChannelManualMode,_xll.AuLiComSetChannelValue(DmxVersion,H14,J14*ChannelMaster%),"")</f>
        <v>DMX:COM6</v>
      </c>
    </row>
    <row r="15" spans="1:12" x14ac:dyDescent="0.25">
      <c r="C15" s="9"/>
      <c r="E15" t="str">
        <v>LED Bar</v>
      </c>
      <c r="F15" t="str">
        <v>CameoLedBar12Ch</v>
      </c>
      <c r="G15" t="str">
        <v>Blue3</v>
      </c>
      <c r="H15">
        <v>12</v>
      </c>
      <c r="I15" cm="1">
        <f t="array" ref="I15">_xll.AuLiComGetChannelValue(ChannelsVersion,H15)</f>
        <v>0</v>
      </c>
      <c r="J15" s="2">
        <v>0</v>
      </c>
      <c r="K15" s="3" t="str" cm="1">
        <f t="array" ref="K15">IF(ChannelManualMode,_xll.AuLiComSetChannelValue(DmxVersion,H15,J15*ChannelMaster%),"")</f>
        <v>DMX:COM6</v>
      </c>
    </row>
    <row r="16" spans="1:12" x14ac:dyDescent="0.25">
      <c r="C16" s="9"/>
      <c r="E16" t="str">
        <v>Lamp1</v>
      </c>
      <c r="F16" t="str">
        <v>GenericLamp</v>
      </c>
      <c r="G16" t="str">
        <v>Intensity</v>
      </c>
      <c r="H16">
        <v>13</v>
      </c>
      <c r="I16" cm="1">
        <f t="array" ref="I16">_xll.AuLiComGetChannelValue(ChannelsVersion,H16)</f>
        <v>0</v>
      </c>
    </row>
    <row r="17" spans="1:9" x14ac:dyDescent="0.25">
      <c r="A17" s="3"/>
      <c r="C17" s="9"/>
      <c r="E17" t="str">
        <v>Lamp2</v>
      </c>
      <c r="F17" t="str">
        <v>GenericLamp</v>
      </c>
      <c r="G17" t="str">
        <v>Intensity</v>
      </c>
      <c r="H17">
        <v>14</v>
      </c>
      <c r="I17" cm="1">
        <f t="array" ref="I17">_xll.AuLiComGetChannelValue(ChannelsVersion,H17)</f>
        <v>0</v>
      </c>
    </row>
    <row r="18" spans="1:9" x14ac:dyDescent="0.25">
      <c r="A18" s="4"/>
      <c r="C18" s="9"/>
      <c r="I18" cm="1">
        <f t="array" ref="I18">_xll.AuLiComGetChannelValue(ChannelsVersion,H18)</f>
        <v>0</v>
      </c>
    </row>
    <row r="19" spans="1:9" x14ac:dyDescent="0.25">
      <c r="C19" s="9"/>
    </row>
    <row r="20" spans="1:9" x14ac:dyDescent="0.25">
      <c r="A20" s="3"/>
      <c r="C20" s="9"/>
    </row>
    <row r="21" spans="1:9" x14ac:dyDescent="0.25">
      <c r="A21" s="4"/>
      <c r="C21" s="9"/>
    </row>
    <row r="22" spans="1:9" x14ac:dyDescent="0.25">
      <c r="C22" s="9"/>
    </row>
    <row r="23" spans="1:9" x14ac:dyDescent="0.25">
      <c r="C23" s="9"/>
    </row>
    <row r="24" spans="1:9" x14ac:dyDescent="0.25">
      <c r="A24" s="4" t="s">
        <v>0</v>
      </c>
      <c r="C24" s="9"/>
    </row>
    <row r="25" spans="1:9" x14ac:dyDescent="0.25">
      <c r="A25" s="3" t="e" cm="1">
        <f t="array" ref="A25">_xll.AuLiComGetDmxPorts(TRUE)</f>
        <v>#VALUE!</v>
      </c>
      <c r="C25" s="9"/>
    </row>
    <row r="26" spans="1:9" x14ac:dyDescent="0.25">
      <c r="C26" s="9"/>
    </row>
    <row r="27" spans="1:9" x14ac:dyDescent="0.25">
      <c r="C27" s="9"/>
    </row>
    <row r="28" spans="1:9" x14ac:dyDescent="0.25">
      <c r="C28" s="9"/>
    </row>
    <row r="29" spans="1:9" x14ac:dyDescent="0.25">
      <c r="C29" s="9"/>
    </row>
    <row r="30" spans="1:9" x14ac:dyDescent="0.25">
      <c r="C30" s="9"/>
    </row>
    <row r="31" spans="1:9" x14ac:dyDescent="0.25">
      <c r="C31" s="9"/>
    </row>
    <row r="32" spans="1:9" x14ac:dyDescent="0.25">
      <c r="C32" s="9"/>
    </row>
    <row r="33" spans="3:3" x14ac:dyDescent="0.25">
      <c r="C33" s="9"/>
    </row>
    <row r="34" spans="3:3" x14ac:dyDescent="0.25">
      <c r="C34" s="9"/>
    </row>
    <row r="35" spans="3:3" x14ac:dyDescent="0.25">
      <c r="C35" s="9"/>
    </row>
    <row r="36" spans="3:3" x14ac:dyDescent="0.25">
      <c r="C36" s="9"/>
    </row>
    <row r="37" spans="3:3" x14ac:dyDescent="0.25">
      <c r="C37" s="9"/>
    </row>
    <row r="38" spans="3:3" x14ac:dyDescent="0.25">
      <c r="C38" s="9"/>
    </row>
    <row r="39" spans="3:3" x14ac:dyDescent="0.25">
      <c r="C39" s="9"/>
    </row>
    <row r="40" spans="3:3" x14ac:dyDescent="0.25">
      <c r="C40" s="9"/>
    </row>
    <row r="41" spans="3:3" x14ac:dyDescent="0.25">
      <c r="C41" s="9"/>
    </row>
    <row r="42" spans="3:3" x14ac:dyDescent="0.25">
      <c r="C42" s="9"/>
    </row>
    <row r="43" spans="3:3" x14ac:dyDescent="0.25">
      <c r="C43" s="9"/>
    </row>
    <row r="44" spans="3:3" x14ac:dyDescent="0.25">
      <c r="C44" s="9"/>
    </row>
    <row r="45" spans="3:3" x14ac:dyDescent="0.25">
      <c r="C45" s="9"/>
    </row>
    <row r="46" spans="3:3" x14ac:dyDescent="0.25">
      <c r="C46" s="9"/>
    </row>
    <row r="47" spans="3:3" x14ac:dyDescent="0.25">
      <c r="C47" s="9"/>
    </row>
    <row r="48" spans="3:3" x14ac:dyDescent="0.25">
      <c r="C48" s="9"/>
    </row>
    <row r="49" spans="3:3" x14ac:dyDescent="0.25">
      <c r="C49" s="9"/>
    </row>
    <row r="50" spans="3:3" x14ac:dyDescent="0.25">
      <c r="C50" s="9"/>
    </row>
    <row r="51" spans="3:3" x14ac:dyDescent="0.25">
      <c r="C51" s="9"/>
    </row>
    <row r="52" spans="3:3" x14ac:dyDescent="0.25">
      <c r="C52" s="9"/>
    </row>
    <row r="53" spans="3:3" x14ac:dyDescent="0.25">
      <c r="C53" s="9"/>
    </row>
  </sheetData>
  <conditionalFormatting sqref="G1:G1048576">
    <cfRule type="containsText" dxfId="3" priority="1" operator="containsText" text="Intensity">
      <formula>NOT(ISERROR(SEARCH("Intensity",G1)))</formula>
    </cfRule>
    <cfRule type="containsText" dxfId="2" priority="2" operator="containsText" text="Blue">
      <formula>NOT(ISERROR(SEARCH("Blue",G1)))</formula>
    </cfRule>
    <cfRule type="containsText" dxfId="1" priority="3" operator="containsText" text="Green">
      <formula>NOT(ISERROR(SEARCH("Green",G1)))</formula>
    </cfRule>
    <cfRule type="containsText" dxfId="0" priority="4" operator="containsText" text="Red">
      <formula>NOT(ISERROR(SEARCH("Red",G1)))</formula>
    </cfRule>
  </conditionalFormatting>
  <dataValidations count="2">
    <dataValidation type="whole" allowBlank="1" showInputMessage="1" showErrorMessage="1" sqref="J4:J15" xr:uid="{852C5ADF-B2F9-434A-B063-004409CD4BDA}">
      <formula1>0</formula1>
      <formula2>100</formula2>
    </dataValidation>
    <dataValidation type="list" allowBlank="1" showInputMessage="1" showErrorMessage="1" sqref="A8" xr:uid="{396DDEB2-D078-4AE7-B445-E6305F57D0E3}">
      <formula1>$A$16:$A$20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200025</xdr:colOff>
                    <xdr:row>12</xdr:row>
                    <xdr:rowOff>76200</xdr:rowOff>
                  </from>
                  <to>
                    <xdr:col>0</xdr:col>
                    <xdr:colOff>1038225</xdr:colOff>
                    <xdr:row>13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SceneFromCurrentUniverse">
                <anchor moveWithCells="1">
                  <from>
                    <xdr:col>11</xdr:col>
                    <xdr:colOff>447675</xdr:colOff>
                    <xdr:row>1</xdr:row>
                    <xdr:rowOff>38100</xdr:rowOff>
                  </from>
                  <to>
                    <xdr:col>14</xdr:col>
                    <xdr:colOff>209550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G27"/>
  <sheetViews>
    <sheetView workbookViewId="0">
      <selection activeCell="D15" sqref="D15"/>
    </sheetView>
  </sheetViews>
  <sheetFormatPr defaultRowHeight="15" x14ac:dyDescent="0.25"/>
  <cols>
    <col min="1" max="1" width="12.85546875" bestFit="1" customWidth="1"/>
    <col min="3" max="3" width="16.85546875" bestFit="1" customWidth="1"/>
  </cols>
  <sheetData>
    <row r="1" spans="1:7" x14ac:dyDescent="0.25">
      <c r="A1" s="11" t="s">
        <v>24</v>
      </c>
      <c r="B1" s="11"/>
      <c r="C1" t="s">
        <v>20</v>
      </c>
      <c r="D1" t="s">
        <v>28</v>
      </c>
      <c r="E1" t="s">
        <v>27</v>
      </c>
      <c r="F1" t="s">
        <v>29</v>
      </c>
    </row>
    <row r="2" spans="1:7" x14ac:dyDescent="0.25">
      <c r="A2" s="11" t="s">
        <v>25</v>
      </c>
      <c r="B2" s="11"/>
      <c r="C2">
        <v>0.5</v>
      </c>
      <c r="D2">
        <v>0.25</v>
      </c>
      <c r="E2">
        <v>1</v>
      </c>
      <c r="F2">
        <v>2</v>
      </c>
    </row>
    <row r="3" spans="1:7" x14ac:dyDescent="0.25">
      <c r="A3" s="8"/>
      <c r="B3" s="8"/>
    </row>
    <row r="4" spans="1:7" x14ac:dyDescent="0.25">
      <c r="A4" s="8"/>
      <c r="B4" s="8"/>
    </row>
    <row r="5" spans="1:7" x14ac:dyDescent="0.25">
      <c r="A5" s="1" t="s">
        <v>12</v>
      </c>
      <c r="B5" s="1" t="s">
        <v>13</v>
      </c>
      <c r="C5" s="3" t="str" cm="1">
        <f t="array" ref="C5">_xll.AuLiComSetScene(DmxVersion,C1,$B$6:$B$14,C6:C14)</f>
        <v>Mixed</v>
      </c>
      <c r="D5" s="3" t="str" cm="1">
        <f t="array" ref="D5">_xll.AuLiComSetScene(DmxVersion,D1,$B$6:$B$14,D6:D14)</f>
        <v>Red Only</v>
      </c>
      <c r="E5" s="3" t="str" cm="1">
        <f t="array" ref="E5">_xll.AuLiComSetScene(DmxVersion,E1,$B$6:$B$14,E6:E14)</f>
        <v>Black</v>
      </c>
      <c r="F5" s="3" t="str" cm="1">
        <f t="array" ref="F5">_xll.AuLiComSetScene(DmxVersion,F1,$B$6:$B$14,F6:F14)</f>
        <v>All</v>
      </c>
      <c r="G5" s="3"/>
    </row>
    <row r="6" spans="1:7" x14ac:dyDescent="0.25">
      <c r="A6" s="5" t="s">
        <v>1</v>
      </c>
      <c r="B6">
        <v>4</v>
      </c>
      <c r="C6">
        <v>100</v>
      </c>
      <c r="D6">
        <v>100</v>
      </c>
      <c r="E6">
        <v>0</v>
      </c>
      <c r="F6">
        <v>100</v>
      </c>
    </row>
    <row r="7" spans="1:7" x14ac:dyDescent="0.25">
      <c r="A7" s="6" t="s">
        <v>2</v>
      </c>
      <c r="B7">
        <f>B6+1</f>
        <v>5</v>
      </c>
      <c r="C7">
        <v>0</v>
      </c>
      <c r="D7">
        <v>0</v>
      </c>
      <c r="E7">
        <v>0</v>
      </c>
      <c r="F7">
        <v>100</v>
      </c>
    </row>
    <row r="8" spans="1:7" x14ac:dyDescent="0.25">
      <c r="A8" s="7" t="s">
        <v>3</v>
      </c>
      <c r="B8">
        <f t="shared" ref="B8:B14" si="0">B7+1</f>
        <v>6</v>
      </c>
      <c r="C8">
        <v>0</v>
      </c>
      <c r="D8">
        <v>0</v>
      </c>
      <c r="E8">
        <v>0</v>
      </c>
      <c r="F8">
        <v>100</v>
      </c>
    </row>
    <row r="9" spans="1:7" x14ac:dyDescent="0.25">
      <c r="A9" s="5" t="s">
        <v>4</v>
      </c>
      <c r="B9">
        <f t="shared" si="0"/>
        <v>7</v>
      </c>
      <c r="C9">
        <v>0</v>
      </c>
      <c r="D9">
        <v>100</v>
      </c>
      <c r="E9">
        <v>0</v>
      </c>
      <c r="F9">
        <v>100</v>
      </c>
    </row>
    <row r="10" spans="1:7" x14ac:dyDescent="0.25">
      <c r="A10" s="6" t="s">
        <v>5</v>
      </c>
      <c r="B10">
        <f t="shared" si="0"/>
        <v>8</v>
      </c>
      <c r="C10">
        <v>100</v>
      </c>
      <c r="D10">
        <v>0</v>
      </c>
      <c r="E10">
        <v>0</v>
      </c>
      <c r="F10">
        <v>100</v>
      </c>
    </row>
    <row r="11" spans="1:7" x14ac:dyDescent="0.25">
      <c r="A11" s="7" t="s">
        <v>6</v>
      </c>
      <c r="B11">
        <f t="shared" si="0"/>
        <v>9</v>
      </c>
      <c r="C11">
        <v>0</v>
      </c>
      <c r="D11">
        <v>0</v>
      </c>
      <c r="E11">
        <v>0</v>
      </c>
      <c r="F11">
        <v>100</v>
      </c>
    </row>
    <row r="12" spans="1:7" x14ac:dyDescent="0.25">
      <c r="A12" s="5" t="s">
        <v>7</v>
      </c>
      <c r="B12">
        <f t="shared" si="0"/>
        <v>10</v>
      </c>
      <c r="C12">
        <v>0</v>
      </c>
      <c r="D12">
        <v>100</v>
      </c>
      <c r="E12">
        <v>0</v>
      </c>
      <c r="F12">
        <v>100</v>
      </c>
    </row>
    <row r="13" spans="1:7" x14ac:dyDescent="0.25">
      <c r="A13" s="6" t="s">
        <v>8</v>
      </c>
      <c r="B13">
        <f t="shared" si="0"/>
        <v>11</v>
      </c>
      <c r="C13">
        <v>0</v>
      </c>
      <c r="D13">
        <v>0</v>
      </c>
      <c r="E13">
        <v>0</v>
      </c>
      <c r="F13">
        <v>100</v>
      </c>
    </row>
    <row r="14" spans="1:7" x14ac:dyDescent="0.25">
      <c r="A14" s="7" t="s">
        <v>9</v>
      </c>
      <c r="B14">
        <f t="shared" si="0"/>
        <v>12</v>
      </c>
      <c r="C14">
        <v>100</v>
      </c>
      <c r="D14">
        <v>0</v>
      </c>
      <c r="E14">
        <v>0</v>
      </c>
      <c r="F14">
        <v>100</v>
      </c>
    </row>
    <row r="15" spans="1:7" x14ac:dyDescent="0.25">
      <c r="A15" s="12" t="s">
        <v>21</v>
      </c>
      <c r="B15" s="12"/>
      <c r="C15" s="2"/>
      <c r="D15" s="2"/>
      <c r="E15" s="2"/>
      <c r="F15" s="2"/>
      <c r="G15" s="2"/>
    </row>
    <row r="17" spans="1:2" x14ac:dyDescent="0.25">
      <c r="A17" s="1" t="s">
        <v>22</v>
      </c>
    </row>
    <row r="18" spans="1:2" x14ac:dyDescent="0.25">
      <c r="A18" t="s">
        <v>12</v>
      </c>
      <c r="B18" t="e" cm="1">
        <f t="array" ref="B18">INDEX(1:1,1,_xlfn.XMATCH("X",15:15))</f>
        <v>#N/A</v>
      </c>
    </row>
    <row r="19" spans="1:2" x14ac:dyDescent="0.25">
      <c r="A19" t="s">
        <v>23</v>
      </c>
      <c r="B19" t="e" cm="1">
        <f t="array" ref="B19">INDEX(2:2,1,_xlfn.XMATCH("X",15:15))</f>
        <v>#N/A</v>
      </c>
    </row>
    <row r="20" spans="1:2" x14ac:dyDescent="0.25">
      <c r="B20" s="3" t="e" cm="1">
        <f t="array" ref="B20">_xll.AuLiComSetSingleActiveScene(DmxVersion,B18,B19)</f>
        <v>#VALUE!</v>
      </c>
    </row>
    <row r="23" spans="1:2" x14ac:dyDescent="0.25">
      <c r="A23" s="1" t="s">
        <v>26</v>
      </c>
    </row>
    <row r="24" spans="1:2" x14ac:dyDescent="0.25">
      <c r="A24" t="str" cm="1">
        <f t="array" ref="A24:A27">_xll.AuLiComGetScenes(ScenesVersion)</f>
        <v>Red Only</v>
      </c>
    </row>
    <row r="25" spans="1:2" x14ac:dyDescent="0.25">
      <c r="A25" t="str">
        <v>Black</v>
      </c>
    </row>
    <row r="26" spans="1:2" x14ac:dyDescent="0.25">
      <c r="A26" t="str">
        <v>All</v>
      </c>
    </row>
    <row r="27" spans="1:2" x14ac:dyDescent="0.25">
      <c r="A27" t="str">
        <v>Mixed</v>
      </c>
    </row>
  </sheetData>
  <mergeCells count="3">
    <mergeCell ref="A1:B1"/>
    <mergeCell ref="A15:B15"/>
    <mergeCell ref="A2: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K7"/>
  <sheetViews>
    <sheetView workbookViewId="0">
      <selection activeCell="D5" sqref="C5:D5"/>
    </sheetView>
  </sheetViews>
  <sheetFormatPr defaultRowHeight="15" x14ac:dyDescent="0.25"/>
  <cols>
    <col min="1" max="1" width="22" bestFit="1" customWidth="1"/>
    <col min="3" max="3" width="7.42578125" bestFit="1" customWidth="1"/>
    <col min="4" max="4" width="17.7109375" bestFit="1" customWidth="1"/>
    <col min="5" max="5" width="12.85546875" bestFit="1" customWidth="1"/>
    <col min="6" max="6" width="14.85546875" customWidth="1"/>
    <col min="7" max="7" width="13.5703125" bestFit="1" customWidth="1"/>
    <col min="11" max="11" width="8.140625" bestFit="1" customWidth="1"/>
    <col min="12" max="12" width="17.7109375" bestFit="1" customWidth="1"/>
    <col min="13" max="13" width="7.7109375" bestFit="1" customWidth="1"/>
    <col min="14" max="14" width="3" bestFit="1" customWidth="1"/>
  </cols>
  <sheetData>
    <row r="1" spans="1:11" x14ac:dyDescent="0.25">
      <c r="A1" s="1" t="s">
        <v>41</v>
      </c>
      <c r="C1" s="1" t="s">
        <v>12</v>
      </c>
      <c r="D1" s="1" t="s">
        <v>38</v>
      </c>
      <c r="E1" s="1" t="s">
        <v>39</v>
      </c>
      <c r="F1" s="1" t="s">
        <v>40</v>
      </c>
      <c r="G1" s="1"/>
      <c r="K1" s="1"/>
    </row>
    <row r="2" spans="1:11" x14ac:dyDescent="0.25">
      <c r="A2" t="str" cm="1">
        <f t="array" ref="A2:A4">_xll.AuLiComGetFixtureTypes(DmxVersion)</f>
        <v>GenericLamp</v>
      </c>
      <c r="C2" s="2" t="s">
        <v>31</v>
      </c>
      <c r="D2" s="2" t="s">
        <v>32</v>
      </c>
      <c r="E2">
        <v>1</v>
      </c>
      <c r="F2" cm="1">
        <f t="array" ref="F2">IF(G2&lt;&gt;"",_xll.AuLiComGetFixtureChannelCount(DmxVersion,C2),"")</f>
        <v>12</v>
      </c>
      <c r="G2" s="3" t="str" cm="1">
        <f t="array" ref="G2">IF(AND(C2&lt;&gt;"",D2&lt;&gt;"",E2&lt;&gt;""),_xll.AuLiComSetFixture(DmxVersion,C2,D2,E2),"")</f>
        <v>Already exists</v>
      </c>
    </row>
    <row r="3" spans="1:11" x14ac:dyDescent="0.25">
      <c r="A3" t="str">
        <v>CameoLedBar3Ch2</v>
      </c>
      <c r="C3" s="2" t="s">
        <v>36</v>
      </c>
      <c r="D3" s="2" t="s">
        <v>37</v>
      </c>
      <c r="E3">
        <f>IF(AND(C3&lt;&gt;"",D3&lt;&gt;""),E2+F2,"")</f>
        <v>13</v>
      </c>
      <c r="F3" cm="1">
        <f t="array" ref="F3">IF(G3&lt;&gt;"",_xll.AuLiComGetFixtureChannelCount(DmxVersion,C3),"")</f>
        <v>1</v>
      </c>
      <c r="G3" s="3" t="str" cm="1">
        <f t="array" ref="G3">IF(AND(C3&lt;&gt;"",D3&lt;&gt;"",E3&lt;&gt;""),_xll.AuLiComSetFixture(DmxVersion,C3,D3,E3),"")</f>
        <v>Already exists</v>
      </c>
    </row>
    <row r="4" spans="1:11" x14ac:dyDescent="0.25">
      <c r="A4" t="str">
        <v>CameoLedBar12Ch</v>
      </c>
      <c r="C4" s="2" t="s">
        <v>45</v>
      </c>
      <c r="D4" s="2" t="s">
        <v>37</v>
      </c>
      <c r="E4">
        <f t="shared" ref="E4:E7" si="0">IF(AND(C4&lt;&gt;"",D4&lt;&gt;""),E3+F3,"")</f>
        <v>14</v>
      </c>
      <c r="F4" cm="1">
        <f t="array" ref="F4">IF(G4&lt;&gt;"",_xll.AuLiComGetFixtureChannelCount(DmxVersion,C4),"")</f>
        <v>1</v>
      </c>
      <c r="G4" s="3" t="str" cm="1">
        <f t="array" ref="G4">IF(AND(C4&lt;&gt;"",D4&lt;&gt;"",E4&lt;&gt;""),_xll.AuLiComSetFixture(DmxVersion,C4,D4,E4),"")</f>
        <v>Already exists</v>
      </c>
    </row>
    <row r="5" spans="1:11" x14ac:dyDescent="0.25">
      <c r="C5" s="2"/>
      <c r="D5" s="2"/>
      <c r="E5" t="str">
        <f t="shared" si="0"/>
        <v/>
      </c>
      <c r="F5" t="str" cm="1">
        <f t="array" ref="F5">IF(G5&lt;&gt;"",_xll.AuLiComGetFixtureChannelCount(DmxVersion,C5),"")</f>
        <v/>
      </c>
      <c r="G5" s="3" t="str" cm="1">
        <f t="array" ref="G5">IF(AND(C5&lt;&gt;"",D5&lt;&gt;"",E5&lt;&gt;""),_xll.AuLiComSetFixture(DmxVersion,C5,D5,E5),"")</f>
        <v/>
      </c>
    </row>
    <row r="6" spans="1:11" x14ac:dyDescent="0.25">
      <c r="C6" s="2"/>
      <c r="D6" s="2"/>
      <c r="E6" t="str">
        <f t="shared" si="0"/>
        <v/>
      </c>
      <c r="F6" t="str" cm="1">
        <f t="array" ref="F6">IF(G6&lt;&gt;"",_xll.AuLiComGetFixtureChannelCount(DmxVersion,C6),"")</f>
        <v/>
      </c>
      <c r="G6" s="3" t="str" cm="1">
        <f t="array" ref="G6">IF(AND(C6&lt;&gt;"",D6&lt;&gt;"",E6&lt;&gt;""),_xll.AuLiComSetFixture(DmxVersion,C6,D6,E6),"")</f>
        <v/>
      </c>
    </row>
    <row r="7" spans="1:11" x14ac:dyDescent="0.25">
      <c r="C7" s="2"/>
      <c r="D7" s="2"/>
      <c r="E7" t="str">
        <f t="shared" si="0"/>
        <v/>
      </c>
      <c r="F7" t="str" cm="1">
        <f t="array" ref="F7">IF(G7&lt;&gt;"",_xll.AuLiComGetFixtureChannelCount(DmxVersion,C7),"")</f>
        <v/>
      </c>
      <c r="G7" s="3" t="str" cm="1">
        <f t="array" ref="G7">IF(AND(C7&lt;&gt;"",D7&lt;&gt;"",E7&lt;&gt;""),_xll.AuLiComSetFixture(DmxVersion,C7,D7,E7),"")</f>
        <v/>
      </c>
    </row>
  </sheetData>
  <dataValidations count="1">
    <dataValidation type="list" allowBlank="1" showInputMessage="1" showErrorMessage="1" sqref="D5:D1048576 D2:D3" xr:uid="{6E4A273C-60A9-48C1-B63E-766C2AADA7F0}">
      <formula1>FixtureTypes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Overview</vt:lpstr>
      <vt:lpstr>Scenes</vt:lpstr>
      <vt:lpstr>Fixtures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2023-07-09T16:40:38Z</dcterms:modified>
</cp:coreProperties>
</file>