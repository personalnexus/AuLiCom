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368" documentId="8_{33E53E1F-A3F6-4075-900F-54641BCFD3E8}" xr6:coauthVersionLast="47" xr6:coauthVersionMax="47" xr10:uidLastSave="{E3332CC1-D227-4BEB-B0BC-58B10A601A25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9" l="1" a="1"/>
  <c r="F1" i="9" s="1"/>
  <c r="F8" i="9" s="1" a="1"/>
  <c r="F8" i="9" s="1"/>
  <c r="G1" i="9" a="1"/>
  <c r="G1" i="9" s="1"/>
  <c r="G8" i="9" s="1" a="1"/>
  <c r="G8" i="9" s="1"/>
  <c r="H1" i="9" a="1"/>
  <c r="H1" i="9" s="1"/>
  <c r="H8" i="9" s="1" a="1"/>
  <c r="H8" i="9" s="1"/>
  <c r="F14" i="1" a="1"/>
  <c r="F14" i="1" s="1"/>
  <c r="F15" i="1" a="1"/>
  <c r="F15" i="1" s="1"/>
  <c r="F16" i="1" a="1"/>
  <c r="F16" i="1" s="1"/>
  <c r="Q1" i="2" a="1"/>
  <c r="Q1" i="2" s="1"/>
  <c r="R1" i="2" a="1"/>
  <c r="R1" i="2" s="1"/>
  <c r="S1" i="2" a="1"/>
  <c r="S1" i="2" s="1"/>
  <c r="C1" i="9" a="1"/>
  <c r="D1" i="9" a="1"/>
  <c r="E1" i="9" a="1"/>
  <c r="D2" i="1" a="1"/>
  <c r="C2" i="1" a="1"/>
  <c r="B1" i="9" a="1"/>
  <c r="A4" i="2" a="1"/>
  <c r="M1" i="2" a="1"/>
  <c r="E1" i="2" a="1"/>
  <c r="A7" i="1" a="1"/>
  <c r="P1" i="2" a="1"/>
  <c r="L1" i="2" a="1"/>
  <c r="N1" i="2" a="1"/>
  <c r="I1" i="2" a="1"/>
  <c r="F1" i="2" a="1"/>
  <c r="E2" i="1" a="1"/>
  <c r="G1" i="2" a="1"/>
  <c r="O1" i="2" a="1"/>
  <c r="J1" i="2" a="1"/>
  <c r="K1" i="2" a="1"/>
  <c r="H1" i="2" a="1"/>
  <c r="E1" i="9" l="1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F13" i="1" a="1"/>
  <c r="F9" i="1" a="1"/>
  <c r="F12" i="1" a="1"/>
  <c r="F10" i="1" a="1"/>
  <c r="F11" i="1" a="1"/>
  <c r="F8" i="1" a="1"/>
  <c r="F4" i="1" a="1"/>
  <c r="F7" i="1" a="1"/>
  <c r="F5" i="1" a="1"/>
  <c r="F2" i="1" a="1"/>
  <c r="F3" i="1" a="1"/>
  <c r="F6" i="1" a="1"/>
  <c r="B8" i="9" a="1"/>
  <c r="D8" i="9" a="1"/>
  <c r="E8" i="9" a="1"/>
  <c r="C8" i="9" a="1"/>
  <c r="C4" i="8" a="1"/>
  <c r="I49" i="8" a="1"/>
  <c r="I18" i="8" a="1"/>
  <c r="I53" i="8" a="1"/>
  <c r="I50" i="8" a="1"/>
  <c r="I14" i="8" a="1"/>
  <c r="I28" i="8" a="1"/>
  <c r="I21" i="8" a="1"/>
  <c r="I23" i="8" a="1"/>
  <c r="I4" i="8" a="1"/>
  <c r="I11" i="8" a="1"/>
  <c r="I6" i="8" a="1"/>
  <c r="I16" i="8" a="1"/>
  <c r="I12" i="8" a="1"/>
  <c r="I13" i="8" a="1"/>
  <c r="I35" i="8" a="1"/>
  <c r="I43" i="8" a="1"/>
  <c r="I30" i="8" a="1"/>
  <c r="I32" i="8" a="1"/>
  <c r="I19" i="8" a="1"/>
  <c r="I9" i="8" a="1"/>
  <c r="I5" i="8" a="1"/>
  <c r="I8" i="8" a="1"/>
  <c r="I20" i="8" a="1"/>
  <c r="I22" i="8" a="1"/>
  <c r="I38" i="8" a="1"/>
  <c r="I31" i="8" a="1"/>
  <c r="I48" i="8" a="1"/>
  <c r="I44" i="8" a="1"/>
  <c r="I45" i="8" a="1"/>
  <c r="I40" i="8" a="1"/>
  <c r="I54" i="8" a="1"/>
  <c r="I15" i="8" a="1"/>
  <c r="I34" i="8" a="1"/>
  <c r="I36" i="8" a="1"/>
  <c r="I46" i="8" a="1"/>
  <c r="I47" i="8" a="1"/>
  <c r="I37" i="8" a="1"/>
  <c r="I24" i="8" a="1"/>
  <c r="I33" i="8" a="1"/>
  <c r="I10" i="8" a="1"/>
  <c r="I52" i="8" a="1"/>
  <c r="I29" i="8" a="1"/>
  <c r="I27" i="8" a="1"/>
  <c r="I51" i="8" a="1"/>
  <c r="I41" i="8" a="1"/>
  <c r="I42" i="8" a="1"/>
  <c r="I39" i="8" a="1"/>
  <c r="I26" i="8" a="1"/>
  <c r="I25" i="8" a="1"/>
  <c r="I17" i="8" a="1"/>
  <c r="I7" i="8" a="1"/>
  <c r="E8" i="9" l="1"/>
  <c r="D8" i="9"/>
  <c r="C8" i="9"/>
  <c r="B8" i="9"/>
  <c r="F9" i="1"/>
  <c r="F12" i="1"/>
  <c r="F11" i="1"/>
  <c r="F13" i="1"/>
  <c r="F8" i="1"/>
  <c r="F10" i="1"/>
  <c r="F3" i="1"/>
  <c r="F6" i="1"/>
  <c r="F5" i="1"/>
  <c r="F7" i="1"/>
  <c r="F4" i="1"/>
  <c r="F2" i="1"/>
  <c r="I51" i="8"/>
  <c r="I54" i="8"/>
  <c r="I53" i="8"/>
  <c r="I50" i="8"/>
  <c r="I49" i="8"/>
  <c r="I52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4" i="5" a="1"/>
  <c r="AB5" i="5" a="1"/>
  <c r="G4" i="8" a="1"/>
  <c r="G4" i="8" l="1"/>
  <c r="AB5" i="5"/>
  <c r="AB4" i="5"/>
  <c r="A3" i="1" a="1"/>
  <c r="A12" i="1" a="1"/>
  <c r="A2" i="4" a="1"/>
  <c r="A5" i="1" a="1"/>
  <c r="A6" i="1" a="1"/>
  <c r="A4" i="1" a="1"/>
  <c r="A12" i="1" l="1"/>
  <c r="A4" i="1"/>
  <c r="A2" i="4"/>
  <c r="A5" i="1"/>
  <c r="A6" i="1"/>
  <c r="A3" i="1"/>
  <c r="F8" i="3" a="1"/>
  <c r="F26" i="3" a="1"/>
  <c r="F21" i="3" a="1"/>
  <c r="A7" i="8" a="1"/>
  <c r="F12" i="3" a="1"/>
  <c r="F3" i="3" a="1"/>
  <c r="F14" i="3" a="1"/>
  <c r="F37" i="3" a="1"/>
  <c r="F34" i="3" a="1"/>
  <c r="F35" i="3" a="1"/>
  <c r="F9" i="3" a="1"/>
  <c r="F10" i="3" a="1"/>
  <c r="F36" i="3" a="1"/>
  <c r="F20" i="3" a="1"/>
  <c r="F39" i="3" a="1"/>
  <c r="F22" i="3" a="1"/>
  <c r="F13" i="3" a="1"/>
  <c r="F33" i="3" a="1"/>
  <c r="F6" i="3" a="1"/>
  <c r="F4" i="3" a="1"/>
  <c r="F17" i="3" a="1"/>
  <c r="F19" i="3" a="1"/>
  <c r="F23" i="3" a="1"/>
  <c r="F16" i="3" a="1"/>
  <c r="F28" i="3" a="1"/>
  <c r="F25" i="3" a="1"/>
  <c r="F38" i="3" a="1"/>
  <c r="F32" i="3" a="1"/>
  <c r="F29" i="3" a="1"/>
  <c r="F2" i="3" a="1"/>
  <c r="F5" i="3" a="1"/>
  <c r="F18" i="3" a="1"/>
  <c r="F30" i="3" a="1"/>
  <c r="F7" i="3" a="1"/>
  <c r="F11" i="3" a="1"/>
  <c r="F31" i="3" a="1"/>
  <c r="F15" i="3" a="1"/>
  <c r="F27" i="3" a="1"/>
  <c r="F24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2" i="3" a="1"/>
  <c r="D7" i="3" a="1"/>
  <c r="D19" i="3" a="1"/>
  <c r="D37" i="3" a="1"/>
  <c r="D21" i="3" a="1"/>
  <c r="D36" i="3" a="1"/>
  <c r="D28" i="3" a="1"/>
  <c r="D12" i="3" a="1"/>
  <c r="D39" i="3" a="1"/>
  <c r="D17" i="3" a="1"/>
  <c r="D24" i="3" a="1"/>
  <c r="D31" i="3" a="1"/>
  <c r="D16" i="3" a="1"/>
  <c r="D18" i="3" a="1"/>
  <c r="D9" i="3" a="1"/>
  <c r="D33" i="3" a="1"/>
  <c r="D2" i="3" a="1"/>
  <c r="D34" i="3" a="1"/>
  <c r="D27" i="3" a="1"/>
  <c r="D32" i="3" a="1"/>
  <c r="D25" i="3" a="1"/>
  <c r="D20" i="3" a="1"/>
  <c r="D6" i="3" a="1"/>
  <c r="D14" i="3" a="1"/>
  <c r="D35" i="3" a="1"/>
  <c r="D26" i="3" a="1"/>
  <c r="D23" i="3" a="1"/>
  <c r="D4" i="3" a="1"/>
  <c r="D5" i="3" a="1"/>
  <c r="D10" i="3" a="1"/>
  <c r="D15" i="3" a="1"/>
  <c r="D13" i="3" a="1"/>
  <c r="D8" i="3" a="1"/>
  <c r="D30" i="3" a="1"/>
  <c r="D11" i="3" a="1"/>
  <c r="D29" i="3" a="1"/>
  <c r="D38" i="3" a="1"/>
  <c r="D3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<sst xmlns="http://schemas.openxmlformats.org/spreadsheetml/2006/main" count="156" uniqueCount="108">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</sst>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d70b83b928ab4a64a75c27635e5ffaed">
      <tp>
        <v>2</v>
        <stp/>
        <stp>d52d1f72-7f95-43b2-9883-70df519ec6d5</stp>
        <tr r="F4" s="1"/>
      </tp>
    </main>
    <main first="rtdsrv_d70b83b928ab4a64a75c27635e5ffaed">
      <tp>
        <v>15</v>
        <stp/>
        <stp>6567e368-45b8-459e-842c-c03ec1d17992</stp>
        <tr r="A2" s="4"/>
        <tr r="E2" s="1"/>
      </tp>
      <tp>
        <v>2</v>
        <stp/>
        <stp>0e54771d-a2d8-4051-b2dc-79763a800ba8</stp>
        <tr r="F10" s="1"/>
      </tp>
    </main>
    <main first="rtdsrv_d70b83b928ab4a64a75c27635e5ffaed">
      <tp>
        <v>2</v>
        <stp/>
        <stp>395a67b2-ff06-4f4e-bf11-466bd626ebdc</stp>
        <tr r="F2" s="1"/>
      </tp>
      <tp>
        <v>40</v>
        <stp/>
        <stp>0a986c3b-f07b-47a2-b1f5-f5d5e948bb5a</stp>
        <tr r="A4" s="1"/>
      </tp>
    </main>
    <main first="rtdsrv_d70b83b928ab4a64a75c27635e5ffaed">
      <tp>
        <v>538</v>
        <stp/>
        <stp>36ee9227-63db-4c23-b2f6-b16c768c40f9</stp>
        <tr r="G4" s="8"/>
      </tp>
    </main>
    <main first="rtdsrv_d70b83b928ab4a64a75c27635e5ffaed">
      <tp>
        <v>2</v>
        <stp/>
        <stp>4e975cc7-c56c-46cf-ae85-b8767f0ab543</stp>
        <tr r="F6" s="1"/>
      </tp>
    </main>
    <main first="rtdsrv_d70b83b928ab4a64a75c27635e5ffaed">
      <tp>
        <v>40</v>
        <stp/>
        <stp>33bdefec-57df-4bd5-a25f-b2636e699e14</stp>
        <tr r="C4" s="8"/>
        <tr r="A4" s="2"/>
      </tp>
    </main>
    <main first="rtdsrv_d70b83b928ab4a64a75c27635e5ffaed">
      <tp>
        <v>642</v>
        <stp/>
        <stp>14984ac1-89a0-4c97-ab2d-b1ce5931b48a</stp>
        <tr r="A6" s="1"/>
      </tp>
    </main>
    <main first="rtdsrv_d70b83b928ab4a64a75c27635e5ffaed">
      <tp>
        <v>2</v>
        <stp/>
        <stp>75b1db1d-912b-436a-98a8-ca11a373e509</stp>
        <tr r="F3" s="1"/>
      </tp>
      <tp>
        <v>40</v>
        <stp/>
        <stp>d84f6770-1662-4d71-956a-6465f234a4fd</stp>
        <tr r="G4" s="8"/>
        <tr r="H1" s="2"/>
        <tr r="H1" s="2"/>
        <tr r="K1" s="2"/>
        <tr r="K1" s="2"/>
        <tr r="J1" s="2"/>
        <tr r="J1" s="2"/>
        <tr r="O1" s="2"/>
        <tr r="O1" s="2"/>
        <tr r="G1" s="2"/>
        <tr r="G1" s="2"/>
        <tr r="F1" s="2"/>
        <tr r="F1" s="2"/>
        <tr r="I1" s="2"/>
        <tr r="I1" s="2"/>
        <tr r="N1" s="2"/>
        <tr r="N1" s="2"/>
        <tr r="L1" s="2"/>
        <tr r="L1" s="2"/>
        <tr r="P1" s="2"/>
        <tr r="P1" s="2"/>
        <tr r="E1" s="2"/>
        <tr r="E1" s="2"/>
        <tr r="M1" s="2"/>
        <tr r="M1" s="2"/>
      </tp>
      <tp>
        <v>15</v>
        <stp/>
        <stp>3766d490-5506-40a8-a933-db48d5944aee</stp>
        <tr r="A5" s="1"/>
      </tp>
    </main>
    <main first="rtdsrv_d70b83b928ab4a64a75c27635e5ffaed">
      <tp>
        <v>2</v>
        <stp/>
        <stp>dc3763f5-5a82-4196-8c3c-e111addfe9f7</stp>
        <tr r="F13" s="1"/>
      </tp>
      <tp>
        <v>2</v>
        <stp/>
        <stp>e93c3422-dfa9-46f7-b561-d0615e4a02b8</stp>
        <tr r="F7" s="1"/>
      </tp>
      <tp>
        <v>2</v>
        <stp/>
        <stp>9c2690a4-f7f7-4bad-a598-832ad5b6fa80</stp>
        <tr r="F8" s="1"/>
      </tp>
    </main>
    <main first="rtdsrv_d70b83b928ab4a64a75c27635e5ffaed">
      <tp>
        <v>2</v>
        <stp/>
        <stp>8333bd2f-c355-402b-b05f-f0ae7117ea3b</stp>
        <tr r="F5" s="1"/>
      </tp>
    </main>
    <main first="rtdsrv_d70b83b928ab4a64a75c27635e5ffaed">
      <tp>
        <v>2</v>
        <stp/>
        <stp>f9fd058e-70fe-43c7-aef5-552748422ef2</stp>
        <tr r="F9" s="1"/>
      </tp>
    </main>
    <main first="rtdsrv_d70b83b928ab4a64a75c27635e5ffaed">
      <tp>
        <v>2</v>
        <stp/>
        <stp>3c43d212-edfb-47cf-bd77-9bfd4180a4f5</stp>
        <tr r="F12" s="1"/>
      </tp>
    </main>
    <main first="rtdsrv_d70b83b928ab4a64a75c27635e5ffaed">
      <tp>
        <v>2</v>
        <stp/>
        <stp>84c1532b-3e8e-473d-a540-60f83b155196</stp>
        <tr r="F11" s="1"/>
      </tp>
      <tp>
        <v>5</v>
        <stp/>
        <stp>fb498b44-9f30-4774-a288-23966e4e7eb7</stp>
        <tr r="A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LED@dark%20blu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A3" sqref="A3"/>
    </sheetView>
  </sheetViews>
  <sheetFormatPr defaultRowHeight="15" x14ac:dyDescent="0.25"/>
  <cols>
    <col min="1" max="1" width="21.7109375" customWidth="1"/>
    <col min="3" max="3" width="17.7109375" customWidth="1"/>
    <col min="4" max="4" width="38.7109375" customWidth="1"/>
    <col min="5" max="5" width="13.7109375" bestFit="1" customWidth="1"/>
  </cols>
  <sheetData>
    <row r="1" spans="1:12" x14ac:dyDescent="0.25">
      <c r="A1" s="1" t="s">
        <v>93</v>
      </c>
      <c r="C1" s="11" t="s">
        <v>91</v>
      </c>
      <c r="D1" s="1" t="s">
        <v>92</v>
      </c>
      <c r="E1" s="1" t="s">
        <v>95</v>
      </c>
    </row>
    <row r="2" spans="1:12" x14ac:dyDescent="0.25">
      <c r="A2" s="2" t="s">
        <v>106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:E13">_xlfn._xlws.SORT(_xll.AuLiComGetScenes())</f>
        <v>Blue1</v>
      </c>
      <c r="F2" t="str" cm="1">
        <f t="array" ref="F2">IF(E2="","",_xll.AuLiComGetSceneChannelPercentages(E2))</f>
        <v>45@100</v>
      </c>
    </row>
    <row r="3" spans="1:12" x14ac:dyDescent="0.25">
      <c r="A3" s="3" t="str" cm="1">
        <f t="array" ref="A3">_xll.AuLiComSetDmxConnection(SelectedPort)</f>
        <v>DMX:COM6</v>
      </c>
      <c r="C3" t="str">
        <v>Loop</v>
      </c>
      <c r="D3" t="str">
        <v>CameoLedBar_12Ch</v>
      </c>
      <c r="E3" t="str">
        <v>Blue2</v>
      </c>
      <c r="F3" t="str" cm="1">
        <f t="array" ref="F3">IF(E3="","",_xll.AuLiComGetSceneChannelPercentages(E3))</f>
        <v>48@100</v>
      </c>
      <c r="L3" s="1"/>
    </row>
    <row r="4" spans="1:12" x14ac:dyDescent="0.25">
      <c r="A4" s="3" t="str" cm="1">
        <f t="array" ref="A4">"FIXTURES:"&amp;_xll.AuLiComGetFixturesVersion()</f>
        <v>FIXTURES:39</v>
      </c>
      <c r="C4" t="str">
        <v>BackAndForth</v>
      </c>
      <c r="D4" t="str">
        <v>CameoLedBar_3Ch2</v>
      </c>
      <c r="E4" t="str">
        <v>Blue3</v>
      </c>
      <c r="F4" t="str" cm="1">
        <f t="array" ref="F4">IF(E4="","",_xll.AuLiComGetSceneChannelPercentages(E4))</f>
        <v>51@100</v>
      </c>
    </row>
    <row r="5" spans="1:12" x14ac:dyDescent="0.25">
      <c r="A5" s="3" t="str" cm="1">
        <f t="array" ref="A5">"SCENES:"&amp;_xll.AuLiComGetScenesVersion()</f>
        <v>SCENES:14</v>
      </c>
      <c r="C5" t="str">
        <v>Random</v>
      </c>
      <c r="D5" t="str">
        <v>CameoPixBar650CPro_3Ch1</v>
      </c>
      <c r="E5" t="str">
        <v>Blue4</v>
      </c>
      <c r="F5" t="str" cm="1">
        <f t="array" ref="F5">IF(E5="","",_xll.AuLiComGetSceneChannelPercentages(E5))</f>
        <v>54@100</v>
      </c>
    </row>
    <row r="6" spans="1:12" x14ac:dyDescent="0.25">
      <c r="A6" s="3" t="str" cm="1">
        <f t="array" ref="A6">"CHANNELS:"&amp;_xll.AuLiComGetChannelsVersion()</f>
        <v>CHANNELS:692</v>
      </c>
      <c r="D6" t="str">
        <v>CameoPixBar650CPro_3Ch2</v>
      </c>
      <c r="E6" t="str">
        <v>Green1</v>
      </c>
      <c r="F6" t="str" cm="1">
        <f t="array" ref="F6">IF(E6="","",_xll.AuLiComGetSceneChannelPercentages(E6))</f>
        <v>44@100</v>
      </c>
    </row>
    <row r="7" spans="1:12" x14ac:dyDescent="0.25">
      <c r="A7" s="3" t="str" cm="1">
        <f t="array" ref="A7">"COLORS:"&amp;_xll.AuLiComGetColorsVersion(Dmx)</f>
        <v>COLORS:4</v>
      </c>
      <c r="D7" t="str">
        <v>CameoThunderWash600Rgbw_7Ch2</v>
      </c>
      <c r="E7" t="str">
        <v>Green2</v>
      </c>
      <c r="F7" t="str" cm="1">
        <f t="array" ref="F7">IF(E7="","",_xll.AuLiComGetSceneChannelPercentages(E7))</f>
        <v>47@100</v>
      </c>
    </row>
    <row r="8" spans="1:12" x14ac:dyDescent="0.25">
      <c r="D8" t="str">
        <v>CantataPc</v>
      </c>
      <c r="E8" t="str">
        <v>Green3</v>
      </c>
      <c r="F8" t="str" cm="1">
        <f t="array" ref="F8">IF(E8="","",_xll.AuLiComGetSceneChannelPercentages(E8))</f>
        <v>50@100</v>
      </c>
    </row>
    <row r="9" spans="1:12" x14ac:dyDescent="0.25">
      <c r="D9" t="str">
        <v>CantataProfiler</v>
      </c>
      <c r="E9" t="str">
        <v>Green4</v>
      </c>
      <c r="F9" t="str" cm="1">
        <f t="array" ref="F9">IF(E9="","",_xll.AuLiComGetSceneChannelPercentages(E9))</f>
        <v>53@100</v>
      </c>
    </row>
    <row r="10" spans="1:12" x14ac:dyDescent="0.25">
      <c r="A10" s="4" t="s">
        <v>0</v>
      </c>
      <c r="D10" t="str">
        <v>ElationKl4Fresnel_1Ch</v>
      </c>
      <c r="E10" t="str">
        <v>Red1</v>
      </c>
      <c r="F10" t="str" cm="1">
        <f t="array" ref="F10">IF(E10="","",_xll.AuLiComGetSceneChannelPercentages(E10))</f>
        <v>43@100</v>
      </c>
    </row>
    <row r="11" spans="1:12" x14ac:dyDescent="0.25">
      <c r="A11" s="3" t="s">
        <v>19</v>
      </c>
      <c r="D11" t="str">
        <v>GenericLamp</v>
      </c>
      <c r="E11" t="str">
        <v>Red2</v>
      </c>
      <c r="F11" t="str" cm="1">
        <f t="array" ref="F11">IF(E11="","",_xll.AuLiComGetSceneChannelPercentages(E11))</f>
        <v>46@100</v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E12" t="str">
        <v>Red3</v>
      </c>
      <c r="F12" t="str" cm="1">
        <f t="array" ref="F12">IF(E12="","",_xll.AuLiComGetSceneChannelPercentages(E12))</f>
        <v>49@100</v>
      </c>
    </row>
    <row r="13" spans="1:12" x14ac:dyDescent="0.25">
      <c r="D13" t="str">
        <v>Par56Silver</v>
      </c>
      <c r="E13" t="str">
        <v>Red4</v>
      </c>
      <c r="F13" t="str" cm="1">
        <f t="array" ref="F13">IF(E13="","",_xll.AuLiComGetSceneChannelPercentages(E13))</f>
        <v>52@100</v>
      </c>
    </row>
    <row r="14" spans="1:12" x14ac:dyDescent="0.25">
      <c r="D14" t="str">
        <v>Par64</v>
      </c>
      <c r="F14" t="str" cm="1">
        <f t="array" ref="F14">IF(E14="","",_xll.AuLiComGetSceneChannelPercentages(E14))</f>
        <v/>
      </c>
    </row>
    <row r="15" spans="1:12" x14ac:dyDescent="0.25">
      <c r="D15" t="str">
        <v>Profiler</v>
      </c>
      <c r="F15" t="str" cm="1">
        <f t="array" ref="F15">IF(E15="","",_xll.AuLiComGetSceneChannelPercentages(E15))</f>
        <v/>
      </c>
    </row>
    <row r="16" spans="1:12" x14ac:dyDescent="0.25">
      <c r="A16" s="3"/>
      <c r="D16" t="str">
        <v>Quartz</v>
      </c>
      <c r="F16" t="str" cm="1">
        <f t="array" ref="F16">IF(E16="","",_xll.AuLiComGetSceneChannelPercentages(E16))</f>
        <v/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56" sqref="B56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E4" sqref="E4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4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/>
      </c>
      <c r="G1" s="3" t="str" cm="1">
        <f t="array" ref="G1">IF(G3="",
       "",
       IF(COUNTIF(3:3,G3)&gt;1,
             "Color Name must be unique",
             _xll.AuLiComSetColor(G3,G4,G5,G6)))</f>
        <v/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/>
      <c r="G3" s="12"/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/>
      <c r="G4" s="2"/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/>
      <c r="G5" s="2"/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/>
      <c r="G6" s="2"/>
      <c r="H6" s="2"/>
    </row>
    <row r="8" spans="1:8" s="15" customFormat="1" ht="45" x14ac:dyDescent="0.25">
      <c r="A8" s="16" t="s">
        <v>100</v>
      </c>
      <c r="B8" s="17" t="str" cm="1">
        <f t="array" ref="B8">IF(B1&lt;&gt;"",HYPERLINK(PreviewColor(B8,B4,B5,B6),B3),"")</f>
        <v>Orange</v>
      </c>
      <c r="C8" s="18" t="str" cm="1">
        <f t="array" ref="C8">IF(C1&lt;&gt;"",HYPERLINK(PreviewColor(C8,C4,C5,C6),C3),"")</f>
        <v>Pink</v>
      </c>
      <c r="D8" s="19" t="str" cm="1">
        <f t="array" ref="D8">IF(D1&lt;&gt;"",HYPERLINK(PreviewColor(D8,D4,D5,D6),D3),"")</f>
        <v>Dark Blue</v>
      </c>
      <c r="E8" s="20" t="str" cm="1">
        <f t="array" ref="E8">IF(E1&lt;&gt;"",HYPERLINK(PreviewColor(E8,E4,E5,E6),E3),"")</f>
        <v>Light Blue</v>
      </c>
      <c r="F8" s="15" t="str" cm="1">
        <f t="array" ref="F8">IF(F1&lt;&gt;"",HYPERLINK(PreviewColor(F8,F4,F5,F6),F3),"")</f>
        <v/>
      </c>
      <c r="G8" s="15" t="str" cm="1">
        <f t="array" ref="G8">IF(G1&lt;&gt;"",HYPERLINK(PreviewColor(G8,G4,G5,G6),G3),"")</f>
        <v/>
      </c>
      <c r="H8" s="15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24" activePane="bottomLeft" state="frozen"/>
      <selection pane="bottomLeft" activeCell="E43" sqref="E43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87</v>
      </c>
    </row>
    <row r="3" spans="1:19" x14ac:dyDescent="0.25">
      <c r="A3" s="1" t="s">
        <v>9</v>
      </c>
      <c r="B3" s="1" t="s">
        <v>12</v>
      </c>
      <c r="C3" s="1" t="s">
        <v>86</v>
      </c>
      <c r="D3" s="1" t="s">
        <v>3</v>
      </c>
      <c r="E3" s="12" t="s">
        <v>26</v>
      </c>
      <c r="F3" s="12" t="s">
        <v>28</v>
      </c>
      <c r="G3" s="12" t="s">
        <v>27</v>
      </c>
      <c r="H3" s="12" t="s">
        <v>88</v>
      </c>
      <c r="I3" s="12" t="s">
        <v>32</v>
      </c>
      <c r="J3" s="12" t="s">
        <v>33</v>
      </c>
      <c r="K3" s="13" t="s">
        <v>34</v>
      </c>
      <c r="L3" s="13" t="s">
        <v>89</v>
      </c>
      <c r="M3" s="13" t="s">
        <v>29</v>
      </c>
      <c r="N3" s="13" t="s">
        <v>30</v>
      </c>
      <c r="O3" s="13" t="s">
        <v>31</v>
      </c>
      <c r="P3" s="13" t="s">
        <v>90</v>
      </c>
      <c r="Q3" s="13"/>
      <c r="R3" s="13"/>
      <c r="S3" s="13"/>
    </row>
    <row r="4" spans="1:19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1:19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1:19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1:19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1:19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workbookViewId="0">
      <selection activeCell="A4" sqref="A4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107</v>
      </c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hyperlinks>
    <hyperlink ref="A4" r:id="rId1" display="LED@dark blue" xr:uid="{14E2205E-7A88-4FB9-84BF-B067B00256E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Blue1</v>
      </c>
      <c r="B2" s="9">
        <v>1</v>
      </c>
    </row>
    <row r="3" spans="1:2" x14ac:dyDescent="0.25">
      <c r="A3" s="9" t="str">
        <v>Red1</v>
      </c>
      <c r="B3" s="9">
        <v>1</v>
      </c>
    </row>
    <row r="4" spans="1:2" x14ac:dyDescent="0.25">
      <c r="A4" s="9" t="str">
        <v>Blue4</v>
      </c>
      <c r="B4" s="9">
        <v>1</v>
      </c>
    </row>
    <row r="5" spans="1:2" x14ac:dyDescent="0.25">
      <c r="A5" s="9" t="str">
        <v>Green4</v>
      </c>
      <c r="B5" s="9">
        <v>1</v>
      </c>
    </row>
    <row r="6" spans="1:2" x14ac:dyDescent="0.25">
      <c r="A6" s="9" t="str">
        <v>Blue2</v>
      </c>
      <c r="B6" s="9">
        <v>1</v>
      </c>
    </row>
    <row r="7" spans="1:2" x14ac:dyDescent="0.25">
      <c r="A7" s="9" t="str">
        <v>Green1</v>
      </c>
      <c r="B7" s="9">
        <v>1</v>
      </c>
    </row>
    <row r="8" spans="1:2" x14ac:dyDescent="0.25">
      <c r="A8" s="9" t="str">
        <v>Red2</v>
      </c>
      <c r="B8" s="9">
        <v>1</v>
      </c>
    </row>
    <row r="9" spans="1:2" x14ac:dyDescent="0.25">
      <c r="A9" s="9" t="str">
        <v>Red3</v>
      </c>
      <c r="B9" s="9">
        <v>1</v>
      </c>
    </row>
    <row r="10" spans="1:2" x14ac:dyDescent="0.25">
      <c r="A10" s="9" t="str">
        <v>Blue3</v>
      </c>
      <c r="B10" s="9">
        <v>1</v>
      </c>
    </row>
    <row r="11" spans="1:2" x14ac:dyDescent="0.25">
      <c r="A11" s="9" t="str">
        <v>Green2</v>
      </c>
      <c r="B11" s="9">
        <v>1</v>
      </c>
    </row>
    <row r="12" spans="1:2" x14ac:dyDescent="0.25">
      <c r="A12" s="9" t="str">
        <v>Green3</v>
      </c>
      <c r="B12" s="9">
        <v>1</v>
      </c>
    </row>
    <row r="13" spans="1:2" x14ac:dyDescent="0.25">
      <c r="A13" s="9" t="str">
        <v>Red4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25" sqref="C25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" t="s">
        <v>25</v>
      </c>
      <c r="B4" s="2" t="s">
        <v>24</v>
      </c>
      <c r="C4" s="2">
        <v>100</v>
      </c>
      <c r="D4" s="2" t="s">
        <v>26</v>
      </c>
      <c r="E4" s="2" t="s">
        <v>28</v>
      </c>
      <c r="F4" s="2" t="s">
        <v>27</v>
      </c>
      <c r="G4" s="2" t="s">
        <v>88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35</v>
      </c>
      <c r="B5" s="2" t="s">
        <v>36</v>
      </c>
      <c r="C5" s="2">
        <v>150</v>
      </c>
      <c r="D5" s="2" t="s">
        <v>26</v>
      </c>
      <c r="E5" s="2" t="s">
        <v>28</v>
      </c>
      <c r="F5" s="2" t="s">
        <v>27</v>
      </c>
      <c r="G5" s="2" t="s">
        <v>88</v>
      </c>
      <c r="H5" s="2" t="s">
        <v>32</v>
      </c>
      <c r="I5" s="2" t="s">
        <v>33</v>
      </c>
      <c r="J5" s="2" t="s">
        <v>34</v>
      </c>
      <c r="K5" s="2" t="s">
        <v>89</v>
      </c>
      <c r="L5" s="2" t="s">
        <v>29</v>
      </c>
      <c r="M5" s="2" t="s">
        <v>30</v>
      </c>
      <c r="N5" s="2" t="s">
        <v>31</v>
      </c>
      <c r="O5" s="2" t="s">
        <v>90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2023-08-20T07:48:20Z</dcterms:modified>
</cp:coreProperties>
</file>