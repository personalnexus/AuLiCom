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63" documentId="8_{33E53E1F-A3F6-4075-900F-54641BCFD3E8}" xr6:coauthVersionLast="47" xr6:coauthVersionMax="47" xr10:uidLastSave="{FCE70C5F-EA62-44F7-8544-1E5AE004131F}"/>
  <bookViews>
    <workbookView xWindow="-120" yWindow="-120" windowWidth="38640" windowHeight="21240" xr2:uid="{AB2CF87F-81B4-4088-AE2E-2820582A8761}"/>
  </bookViews>
  <sheets>
    <sheet name="Overview" sheetId="1" r:id="rId1"/>
    <sheet name="Scenes" sheetId="2" r:id="rId2"/>
    <sheet name="Fixtures" sheetId="3" r:id="rId3"/>
  </sheets>
  <definedNames>
    <definedName name="ChannelManualMode">Overview!$K$1</definedName>
    <definedName name="ChannelMaster">Overview!$J$1</definedName>
    <definedName name="FixtureTypes">OFFSET(Fixtures!$A$1,1,0,COUNTA(Fixtures!$A:$A)-1)</definedName>
    <definedName name="SelectedPort">Overview!$A$8</definedName>
    <definedName name="Status">Overview!$A$9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E5" i="3"/>
  <c r="G5" i="3" s="1" a="1"/>
  <c r="G5" i="3" s="1"/>
  <c r="F5" i="3" s="1" a="1"/>
  <c r="F5" i="3" s="1"/>
  <c r="E6" i="3"/>
  <c r="E7" i="3"/>
  <c r="G7" i="3" s="1" a="1"/>
  <c r="G7" i="3" s="1"/>
  <c r="F7" i="3" s="1" a="1"/>
  <c r="F7" i="3" s="1"/>
  <c r="G6" i="3" a="1"/>
  <c r="G6" i="3" s="1"/>
  <c r="F6" i="3" s="1" a="1"/>
  <c r="F6" i="3" s="1"/>
  <c r="B19" i="2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G2" i="3" a="1"/>
  <c r="E4" i="1" a="1"/>
  <c r="A2" i="3" a="1"/>
  <c r="A5" i="1" a="1"/>
  <c r="E5" i="2" a="1"/>
  <c r="C5" i="2" a="1"/>
  <c r="F5" i="2" a="1"/>
  <c r="A16" i="1" a="1"/>
  <c r="B20" i="2" a="1"/>
  <c r="D5" i="2" a="1"/>
  <c r="A9" i="1" a="1"/>
  <c r="I9" i="1" a="1"/>
  <c r="A24" i="2" a="1"/>
  <c r="I13" i="1" a="1"/>
  <c r="I10" i="1" a="1"/>
  <c r="I14" i="1" a="1"/>
  <c r="I8" i="1" a="1"/>
  <c r="I7" i="1" a="1"/>
  <c r="I12" i="1" a="1"/>
  <c r="I15" i="1" a="1"/>
  <c r="I11" i="1" a="1"/>
  <c r="G2" i="3" l="1"/>
  <c r="E4" i="1"/>
  <c r="A2" i="3"/>
  <c r="I15" i="1"/>
  <c r="I14" i="1"/>
  <c r="I13" i="1"/>
  <c r="A9" i="1"/>
  <c r="A16" i="1"/>
  <c r="C5" i="2"/>
  <c r="F5" i="2"/>
  <c r="E5" i="2"/>
  <c r="D5" i="2"/>
  <c r="B20" i="2"/>
  <c r="A24" i="2"/>
  <c r="A5" i="1"/>
  <c r="I10" i="1"/>
  <c r="I12" i="1"/>
  <c r="I8" i="1"/>
  <c r="I11" i="1"/>
  <c r="I9" i="1"/>
  <c r="I7" i="1"/>
  <c r="F2" i="3" a="1"/>
  <c r="K9" i="1" a="1"/>
  <c r="K15" i="1" a="1"/>
  <c r="K12" i="1" a="1"/>
  <c r="K8" i="1" a="1"/>
  <c r="K11" i="1" a="1"/>
  <c r="K14" i="1" a="1"/>
  <c r="K10" i="1" a="1"/>
  <c r="K13" i="1" a="1"/>
  <c r="K7" i="1" a="1"/>
  <c r="F2" i="3" l="1"/>
  <c r="E3" i="3" s="1"/>
  <c r="K14" i="1"/>
  <c r="K9" i="1"/>
  <c r="K10" i="1"/>
  <c r="K13" i="1"/>
  <c r="K11" i="1"/>
  <c r="K7" i="1"/>
  <c r="K15" i="1"/>
  <c r="K8" i="1"/>
  <c r="K12" i="1"/>
  <c r="G3" i="3" a="1"/>
  <c r="G3" i="3" l="1"/>
  <c r="F3" i="3" a="1"/>
  <c r="G4" i="3" a="1"/>
  <c r="F3" i="3" l="1"/>
  <c r="G4" i="3"/>
  <c r="F4" i="3" a="1"/>
  <c r="F4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<sst xmlns="http://schemas.openxmlformats.org/spreadsheetml/2006/main" count="45" uniqueCount="42">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</sst>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2">
    <cellStyle name="Input" xfId="1" builtinId="20"/>
    <cellStyle name="Normal" xfId="0" builtinId="0"/>
  </cellStyles>
  <dxfs count="4">
    <dxf>
      <font>
        <color theme="5"/>
      </font>
    </dxf>
    <dxf>
      <font>
        <color theme="4"/>
      </font>
    </dxf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104775</xdr:rowOff>
        </xdr:from>
        <xdr:to>
          <xdr:col>0</xdr:col>
          <xdr:colOff>914400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8"/>
  <sheetViews>
    <sheetView tabSelected="1" workbookViewId="0">
      <selection activeCell="E17" sqref="E17"/>
    </sheetView>
  </sheetViews>
  <sheetFormatPr defaultRowHeight="15" x14ac:dyDescent="0.25"/>
  <cols>
    <col min="1" max="1" width="18.85546875" bestFit="1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6.85546875" bestFit="1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E1" s="1" t="s">
        <v>10</v>
      </c>
      <c r="I1" t="s">
        <v>30</v>
      </c>
      <c r="J1" s="2">
        <v>20</v>
      </c>
      <c r="K1" s="2" t="b">
        <v>1</v>
      </c>
    </row>
    <row r="2" spans="1:12" x14ac:dyDescent="0.25">
      <c r="G2" s="1"/>
    </row>
    <row r="3" spans="1:12" x14ac:dyDescent="0.25">
      <c r="A3" s="1" t="s">
        <v>15</v>
      </c>
      <c r="E3" s="1" t="s">
        <v>34</v>
      </c>
      <c r="F3" s="1" t="s">
        <v>35</v>
      </c>
      <c r="G3" s="1" t="s">
        <v>33</v>
      </c>
      <c r="H3" s="1" t="s">
        <v>13</v>
      </c>
      <c r="I3" s="1" t="s">
        <v>16</v>
      </c>
      <c r="J3" s="1" t="s">
        <v>17</v>
      </c>
      <c r="K3" s="4" t="s">
        <v>14</v>
      </c>
      <c r="L3" s="1"/>
    </row>
    <row r="4" spans="1:12" x14ac:dyDescent="0.25">
      <c r="A4" s="2">
        <v>500</v>
      </c>
      <c r="E4" t="str" cm="1">
        <f t="array" ref="E4:H17">_xll.AuLiComGetFixtureChannelInfos()</f>
        <v>LED Bar</v>
      </c>
      <c r="F4" t="str">
        <v>CameoLedBar12Ch</v>
      </c>
      <c r="G4" t="str">
        <v>Ignore1</v>
      </c>
      <c r="H4">
        <v>1</v>
      </c>
      <c r="K4"/>
    </row>
    <row r="5" spans="1:12" x14ac:dyDescent="0.25">
      <c r="A5" s="3" cm="1">
        <f t="array" ref="A5">_xll.AuLiComSetTimer(A4)</f>
        <v>500</v>
      </c>
      <c r="E5" t="str">
        <v>LED Bar</v>
      </c>
      <c r="F5" t="str">
        <v>CameoLedBar12Ch</v>
      </c>
      <c r="G5" t="str">
        <v>Ignore2</v>
      </c>
      <c r="H5">
        <v>2</v>
      </c>
      <c r="K5"/>
    </row>
    <row r="6" spans="1:12" x14ac:dyDescent="0.25">
      <c r="E6" t="str">
        <v>LED Bar</v>
      </c>
      <c r="F6" t="str">
        <v>CameoLedBar12Ch</v>
      </c>
      <c r="G6" t="str">
        <v>Ignore3</v>
      </c>
      <c r="H6">
        <v>3</v>
      </c>
      <c r="K6"/>
    </row>
    <row r="7" spans="1:12" x14ac:dyDescent="0.25">
      <c r="A7" s="1" t="s">
        <v>18</v>
      </c>
      <c r="E7" t="str">
        <v>LED Bar</v>
      </c>
      <c r="F7" t="str">
        <v>CameoLedBar12Ch</v>
      </c>
      <c r="G7" t="str">
        <v>Red1</v>
      </c>
      <c r="H7">
        <v>4</v>
      </c>
      <c r="I7" cm="1">
        <f t="array" aca="1" ref="I7" ca="1">_xll.AuLiComGetChannelValue(H7)</f>
        <v>20</v>
      </c>
      <c r="J7" s="2">
        <v>100</v>
      </c>
      <c r="K7" s="3" t="str" cm="1">
        <f t="array" aca="1" ref="K7" ca="1">IF(AND(ChannelManualMode,J7*ChannelMaster%&lt;&gt;I7),_xll.AuLiComSetChannelValue(H7,J7*ChannelMaster%),"")</f>
        <v/>
      </c>
    </row>
    <row r="8" spans="1:12" x14ac:dyDescent="0.25">
      <c r="A8" s="2" t="s">
        <v>19</v>
      </c>
      <c r="E8" t="str">
        <v>LED Bar</v>
      </c>
      <c r="F8" t="str">
        <v>CameoLedBar12Ch</v>
      </c>
      <c r="G8" t="str">
        <v>Green1</v>
      </c>
      <c r="H8">
        <v>5</v>
      </c>
      <c r="I8" cm="1">
        <f t="array" aca="1" ref="I8" ca="1">_xll.AuLiComGetChannelValue(H8)</f>
        <v>0</v>
      </c>
      <c r="J8" s="2"/>
      <c r="K8" s="3" t="str" cm="1">
        <f t="array" aca="1" ref="K8" ca="1">IF(AND(ChannelManualMode,J8*ChannelMaster%&lt;&gt;I8),_xll.AuLiComSetChannelValue(H8,J8*ChannelMaster%),"")</f>
        <v/>
      </c>
    </row>
    <row r="9" spans="1:12" x14ac:dyDescent="0.25">
      <c r="A9" s="3" t="str" cm="1">
        <f t="array" ref="A9">_xll.AuLiComCreateDmxConnection(SelectedPort)</f>
        <v>Connected to COM6</v>
      </c>
      <c r="E9" t="str">
        <v>LED Bar</v>
      </c>
      <c r="F9" t="str">
        <v>CameoLedBar12Ch</v>
      </c>
      <c r="G9" t="str">
        <v>Blue1</v>
      </c>
      <c r="H9">
        <v>6</v>
      </c>
      <c r="I9" cm="1">
        <f t="array" aca="1" ref="I9" ca="1">_xll.AuLiComGetChannelValue(H9)</f>
        <v>0</v>
      </c>
      <c r="J9" s="2"/>
      <c r="K9" s="3" t="str" cm="1">
        <f t="array" aca="1" ref="K9" ca="1">IF(AND(ChannelManualMode,J9*ChannelMaster%&lt;&gt;I9),_xll.AuLiComSetChannelValue(H9,J9*ChannelMaster%),"")</f>
        <v/>
      </c>
    </row>
    <row r="10" spans="1:12" x14ac:dyDescent="0.25">
      <c r="E10" t="str">
        <v>LED Bar</v>
      </c>
      <c r="F10" t="str">
        <v>CameoLedBar12Ch</v>
      </c>
      <c r="G10" t="str">
        <v>Red2</v>
      </c>
      <c r="H10">
        <v>7</v>
      </c>
      <c r="I10" cm="1">
        <f t="array" aca="1" ref="I10" ca="1">_xll.AuLiComGetChannelValue(H10)</f>
        <v>20</v>
      </c>
      <c r="J10" s="2">
        <v>100</v>
      </c>
      <c r="K10" s="3" t="str" cm="1">
        <f t="array" aca="1" ref="K10" ca="1">IF(AND(ChannelManualMode,J10*ChannelMaster%&lt;&gt;I10),_xll.AuLiComSetChannelValue(H10,J10*ChannelMaster%),"")</f>
        <v/>
      </c>
    </row>
    <row r="11" spans="1:12" x14ac:dyDescent="0.25">
      <c r="E11" t="str">
        <v>LED Bar</v>
      </c>
      <c r="F11" t="str">
        <v>CameoLedBar12Ch</v>
      </c>
      <c r="G11" t="str">
        <v>Green2</v>
      </c>
      <c r="H11">
        <v>8</v>
      </c>
      <c r="I11" cm="1">
        <f t="array" aca="1" ref="I11" ca="1">_xll.AuLiComGetChannelValue(H11)</f>
        <v>0</v>
      </c>
      <c r="J11" s="2"/>
      <c r="K11" s="3" t="str" cm="1">
        <f t="array" aca="1" ref="K11" ca="1">IF(AND(ChannelManualMode,J11*ChannelMaster%&lt;&gt;I11),_xll.AuLiComSetChannelValue(H11,J11*ChannelMaster%),"")</f>
        <v/>
      </c>
    </row>
    <row r="12" spans="1:12" x14ac:dyDescent="0.25">
      <c r="E12" t="str">
        <v>LED Bar</v>
      </c>
      <c r="F12" t="str">
        <v>CameoLedBar12Ch</v>
      </c>
      <c r="G12" t="str">
        <v>Blue2</v>
      </c>
      <c r="H12">
        <v>9</v>
      </c>
      <c r="I12" cm="1">
        <f t="array" aca="1" ref="I12" ca="1">_xll.AuLiComGetChannelValue(H12)</f>
        <v>0</v>
      </c>
      <c r="J12" s="2"/>
      <c r="K12" s="3" t="str" cm="1">
        <f t="array" aca="1" ref="K12" ca="1">IF(AND(ChannelManualMode,J12*ChannelMaster%&lt;&gt;I12),_xll.AuLiComSetChannelValue(H12,J12*ChannelMaster%),"")</f>
        <v/>
      </c>
    </row>
    <row r="13" spans="1:12" x14ac:dyDescent="0.25">
      <c r="E13" t="str">
        <v>LED Bar</v>
      </c>
      <c r="F13" t="str">
        <v>CameoLedBar12Ch</v>
      </c>
      <c r="G13" t="str">
        <v>Red3</v>
      </c>
      <c r="H13">
        <v>10</v>
      </c>
      <c r="I13" cm="1">
        <f t="array" aca="1" ref="I13" ca="1">_xll.AuLiComGetChannelValue(H13)</f>
        <v>20</v>
      </c>
      <c r="J13" s="2">
        <v>100</v>
      </c>
      <c r="K13" s="3" t="str" cm="1">
        <f t="array" aca="1" ref="K13" ca="1">IF(AND(ChannelManualMode,J13*ChannelMaster%&lt;&gt;I13),_xll.AuLiComSetChannelValue(H13,J13*ChannelMaster%),"")</f>
        <v/>
      </c>
    </row>
    <row r="14" spans="1:12" x14ac:dyDescent="0.25">
      <c r="E14" t="str">
        <v>LED Bar</v>
      </c>
      <c r="F14" t="str">
        <v>CameoLedBar12Ch</v>
      </c>
      <c r="G14" t="str">
        <v>Green3</v>
      </c>
      <c r="H14">
        <v>11</v>
      </c>
      <c r="I14" cm="1">
        <f t="array" aca="1" ref="I14" ca="1">_xll.AuLiComGetChannelValue(H14)</f>
        <v>0</v>
      </c>
      <c r="J14" s="2"/>
      <c r="K14" s="3" t="str" cm="1">
        <f t="array" aca="1" ref="K14" ca="1">IF(AND(ChannelManualMode,J14*ChannelMaster%&lt;&gt;I14),_xll.AuLiComSetChannelValue(H14,J14*ChannelMaster%),"")</f>
        <v/>
      </c>
    </row>
    <row r="15" spans="1:12" x14ac:dyDescent="0.25">
      <c r="A15" s="4" t="s">
        <v>0</v>
      </c>
      <c r="E15" t="str">
        <v>LED Bar</v>
      </c>
      <c r="F15" t="str">
        <v>CameoLedBar12Ch</v>
      </c>
      <c r="G15" t="str">
        <v>Blue3</v>
      </c>
      <c r="H15">
        <v>12</v>
      </c>
      <c r="I15" cm="1">
        <f t="array" aca="1" ref="I15" ca="1">_xll.AuLiComGetChannelValue(H15)</f>
        <v>0</v>
      </c>
      <c r="J15" s="2"/>
      <c r="K15" s="3" t="str" cm="1">
        <f t="array" aca="1" ref="K15" ca="1">IF(AND(ChannelManualMode,J15*ChannelMaster%&lt;&gt;I15),_xll.AuLiComSetChannelValue(H15,J15*ChannelMaster%),"")</f>
        <v/>
      </c>
    </row>
    <row r="16" spans="1:12" x14ac:dyDescent="0.25">
      <c r="A16" s="3" t="e" cm="1">
        <f t="array" ref="A16">_xll.AuLiComGetDmxPorts(TRUE)</f>
        <v>#VALUE!</v>
      </c>
      <c r="E16" t="str">
        <v>Lamp1</v>
      </c>
      <c r="F16" t="str">
        <v>GenericLamp</v>
      </c>
      <c r="G16" t="str">
        <v>Intensity</v>
      </c>
      <c r="H16">
        <v>13</v>
      </c>
    </row>
    <row r="17" spans="1:8" x14ac:dyDescent="0.25">
      <c r="A17" s="3"/>
      <c r="E17" t="str">
        <v>Lamp2</v>
      </c>
      <c r="F17" t="str">
        <v>GenericLamp</v>
      </c>
      <c r="G17" t="str">
        <v>Intensity</v>
      </c>
      <c r="H17">
        <v>14</v>
      </c>
    </row>
    <row r="18" spans="1:8" x14ac:dyDescent="0.25">
      <c r="A18" s="3"/>
    </row>
  </sheetData>
  <conditionalFormatting sqref="G1:G1048576">
    <cfRule type="containsText" dxfId="1" priority="2" operator="containsText" text="Blue">
      <formula>NOT(ISERROR(SEARCH("Blue",G1)))</formula>
    </cfRule>
    <cfRule type="containsText" dxfId="2" priority="3" operator="containsText" text="Green">
      <formula>NOT(ISERROR(SEARCH("Green",G1)))</formula>
    </cfRule>
    <cfRule type="containsText" dxfId="3" priority="4" operator="containsText" text="Red">
      <formula>NOT(ISERROR(SEARCH("Red",G1)))</formula>
    </cfRule>
    <cfRule type="containsText" dxfId="0" priority="1" operator="containsText" text="Intensity">
      <formula>NOT(ISERROR(SEARCH("Intensity",G1)))</formula>
    </cfRule>
  </conditionalFormatting>
  <dataValidations count="2">
    <dataValidation type="whole" allowBlank="1" showInputMessage="1" showErrorMessage="1" sqref="J4:J15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Initialize">
                <anchor moveWithCells="1">
                  <from>
                    <xdr:col>0</xdr:col>
                    <xdr:colOff>76200</xdr:colOff>
                    <xdr:row>9</xdr:row>
                    <xdr:rowOff>104775</xdr:rowOff>
                  </from>
                  <to>
                    <xdr:col>0</xdr:col>
                    <xdr:colOff>914400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F27"/>
  <sheetViews>
    <sheetView workbookViewId="0">
      <selection activeCell="C5" sqref="C5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6" x14ac:dyDescent="0.25">
      <c r="A1" s="9" t="s">
        <v>24</v>
      </c>
      <c r="B1" s="9"/>
      <c r="C1" t="s">
        <v>20</v>
      </c>
      <c r="D1" t="s">
        <v>28</v>
      </c>
      <c r="E1" t="s">
        <v>27</v>
      </c>
      <c r="F1" t="s">
        <v>29</v>
      </c>
    </row>
    <row r="2" spans="1:6" x14ac:dyDescent="0.25">
      <c r="A2" s="9" t="s">
        <v>25</v>
      </c>
      <c r="B2" s="9"/>
      <c r="C2">
        <v>0.5</v>
      </c>
      <c r="D2">
        <v>0.25</v>
      </c>
      <c r="E2">
        <v>1</v>
      </c>
      <c r="F2">
        <v>2</v>
      </c>
    </row>
    <row r="3" spans="1:6" x14ac:dyDescent="0.25">
      <c r="A3" s="8"/>
      <c r="B3" s="8"/>
    </row>
    <row r="4" spans="1:6" x14ac:dyDescent="0.25">
      <c r="A4" s="8"/>
      <c r="B4" s="8"/>
    </row>
    <row r="5" spans="1:6" x14ac:dyDescent="0.25">
      <c r="A5" s="1" t="s">
        <v>12</v>
      </c>
      <c r="B5" s="1" t="s">
        <v>13</v>
      </c>
      <c r="C5" s="3" t="str" cm="1">
        <f t="array" ref="C5">_xll.AuLiComCreateScene(C1,$B$6:$B$14,C6:C14)</f>
        <v>Mixed</v>
      </c>
      <c r="D5" s="3" t="str" cm="1">
        <f t="array" ref="D5">_xll.AuLiComCreateScene(D1,$B$6:$B$14,D6:D14)</f>
        <v>Red Only</v>
      </c>
      <c r="E5" s="3" t="str" cm="1">
        <f t="array" ref="E5">_xll.AuLiComCreateScene(E1,$B$6:$B$14,E6:E14)</f>
        <v>Black</v>
      </c>
      <c r="F5" s="3" t="str" cm="1">
        <f t="array" ref="F5">_xll.AuLiComCreateScene(F1,$B$6:$B$14,F6:F14)</f>
        <v>All</v>
      </c>
    </row>
    <row r="6" spans="1:6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6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6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6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6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6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6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6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6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6" x14ac:dyDescent="0.25">
      <c r="A15" s="10" t="s">
        <v>21</v>
      </c>
      <c r="B15" s="10"/>
      <c r="C15" s="2"/>
      <c r="D15" s="2"/>
      <c r="E15" s="2"/>
      <c r="F15" s="2"/>
    </row>
    <row r="17" spans="1:2" x14ac:dyDescent="0.25">
      <c r="A17" s="1" t="s">
        <v>22</v>
      </c>
    </row>
    <row r="18" spans="1:2" x14ac:dyDescent="0.25">
      <c r="A18" t="s">
        <v>12</v>
      </c>
      <c r="B18" t="e" cm="1">
        <f t="array" ref="B18">INDEX(1:1,1,_xlfn.XMATCH("X",15:15))</f>
        <v>#N/A</v>
      </c>
    </row>
    <row r="19" spans="1:2" x14ac:dyDescent="0.25">
      <c r="A19" t="s">
        <v>23</v>
      </c>
      <c r="B19" t="e" cm="1">
        <f t="array" ref="B19">INDEX(2:2,1,_xlfn.XMATCH("X",15:15))</f>
        <v>#N/A</v>
      </c>
    </row>
    <row r="20" spans="1:2" x14ac:dyDescent="0.25">
      <c r="B20" s="3" t="e" cm="1">
        <f t="array" ref="B20">_xll.AuLiComSetSingleActiveScene(B18,B19)</f>
        <v>#VALUE!</v>
      </c>
    </row>
    <row r="23" spans="1:2" x14ac:dyDescent="0.25">
      <c r="A23" s="1" t="s">
        <v>26</v>
      </c>
    </row>
    <row r="24" spans="1:2" x14ac:dyDescent="0.25">
      <c r="A24" t="str" cm="1">
        <f t="array" aca="1" ref="A24:A27" ca="1">_xll.AuLiComGetScenes()</f>
        <v>Black</v>
      </c>
    </row>
    <row r="25" spans="1:2" x14ac:dyDescent="0.25">
      <c r="A25" t="str">
        <f ca="1"/>
        <v>Mixed</v>
      </c>
    </row>
    <row r="26" spans="1:2" x14ac:dyDescent="0.25">
      <c r="A26" t="str">
        <f ca="1"/>
        <v>All</v>
      </c>
    </row>
    <row r="27" spans="1:2" x14ac:dyDescent="0.25">
      <c r="A27" t="str">
        <f ca="1"/>
        <v>Red Only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dimension ref="A1:K7"/>
  <sheetViews>
    <sheetView workbookViewId="0">
      <selection activeCell="C3" sqref="C3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140625" bestFit="1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41</v>
      </c>
      <c r="C1" s="1" t="s">
        <v>12</v>
      </c>
      <c r="D1" s="1" t="s">
        <v>38</v>
      </c>
      <c r="E1" s="1" t="s">
        <v>39</v>
      </c>
      <c r="F1" s="1" t="s">
        <v>40</v>
      </c>
      <c r="G1" s="1"/>
      <c r="K1" s="1"/>
    </row>
    <row r="2" spans="1:11" x14ac:dyDescent="0.25">
      <c r="A2" t="str" cm="1">
        <f t="array" ref="A2:A4">_xll.AuLiComGetFixtureTypes()</f>
        <v>GenericLamp</v>
      </c>
      <c r="C2" s="2" t="s">
        <v>31</v>
      </c>
      <c r="D2" s="2" t="s">
        <v>32</v>
      </c>
      <c r="E2">
        <v>1</v>
      </c>
      <c r="F2" cm="1">
        <f t="array" ref="F2">IF(G2&lt;&gt;"",_xll.AuLiComGetFixtureChannelCount(C2),"")</f>
        <v>12</v>
      </c>
      <c r="G2" s="3" t="str" cm="1">
        <f t="array" ref="G2">IF(AND(C2&lt;&gt;"",D2&lt;&gt;"",E2&lt;&gt;""),_xll.AuLiComCreateFixture(C2,D2,E2),"")</f>
        <v>Already exists</v>
      </c>
    </row>
    <row r="3" spans="1:11" x14ac:dyDescent="0.25">
      <c r="A3" t="str">
        <v>CameoLedBar3Ch2</v>
      </c>
      <c r="C3" s="2" t="s">
        <v>36</v>
      </c>
      <c r="D3" s="2" t="s">
        <v>37</v>
      </c>
      <c r="E3">
        <f>IF(AND(C3&lt;&gt;"",D3&lt;&gt;""),E2+F2,"")</f>
        <v>13</v>
      </c>
      <c r="F3" cm="1">
        <f t="array" ref="F3">IF(G3&lt;&gt;"",_xll.AuLiComGetFixtureChannelCount(C3),"")</f>
        <v>1</v>
      </c>
      <c r="G3" s="3" t="str" cm="1">
        <f t="array" ref="G3">IF(AND(C3&lt;&gt;"",D3&lt;&gt;"",E3&lt;&gt;""),_xll.AuLiComCreateFixture(C3,D3,E3),"")</f>
        <v>Already exists</v>
      </c>
    </row>
    <row r="4" spans="1:11" x14ac:dyDescent="0.25">
      <c r="A4" t="str">
        <v>CameoLedBar12Ch</v>
      </c>
      <c r="C4" s="2"/>
      <c r="D4" s="2"/>
      <c r="E4" t="str">
        <f t="shared" ref="E4:E7" si="0">IF(AND(C4&lt;&gt;"",D4&lt;&gt;""),E3+F3,"")</f>
        <v/>
      </c>
      <c r="F4" t="str" cm="1">
        <f t="array" ref="F4">IF(G4&lt;&gt;"",_xll.AuLiComGetFixtureChannelCount(C4),"")</f>
        <v/>
      </c>
      <c r="G4" s="3" t="str" cm="1">
        <f t="array" ref="G4">IF(AND(C4&lt;&gt;"",D4&lt;&gt;"",E4&lt;&gt;""),_xll.AuLiComCreateFixture(C4,D4,E4),"")</f>
        <v/>
      </c>
    </row>
    <row r="5" spans="1:11" x14ac:dyDescent="0.25">
      <c r="C5" s="2"/>
      <c r="D5" s="2"/>
      <c r="E5" t="str">
        <f t="shared" si="0"/>
        <v/>
      </c>
      <c r="F5" t="str" cm="1">
        <f t="array" ref="F5">IF(G5&lt;&gt;"",_xll.AuLiComGetFixtureChannelCount(C5),"")</f>
        <v/>
      </c>
      <c r="G5" s="3" t="str" cm="1">
        <f t="array" ref="G5">IF(AND(C5&lt;&gt;"",D5&lt;&gt;"",E5&lt;&gt;""),_xll.AuLiComCreateFixture(C5,D5,E5),"")</f>
        <v/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IF(G6&lt;&gt;"",_xll.AuLiComGetFixtureChannelCount(C6),"")</f>
        <v/>
      </c>
      <c r="G6" s="3" t="str" cm="1">
        <f t="array" ref="G6">IF(AND(C6&lt;&gt;"",D6&lt;&gt;"",E6&lt;&gt;""),_xll.AuLiComCreateFixture(C6,D6,E6),"")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IF(G7&lt;&gt;"",_xll.AuLiComGetFixtureChannelCount(C7),"")</f>
        <v/>
      </c>
      <c r="G7" s="3" t="str" cm="1">
        <f t="array" ref="G7">IF(AND(C7&lt;&gt;"",D7&lt;&gt;"",E7&lt;&gt;""),_xll.AuLiComCreateFixture(C7,D7,E7),"")</f>
        <v/>
      </c>
    </row>
  </sheetData>
  <dataValidations disablePrompts="1"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Overview</vt:lpstr>
      <vt:lpstr>Scenes</vt:lpstr>
      <vt:lpstr>Fixtures</vt:lpstr>
      <vt:lpstr>ChannelManualMode</vt:lpstr>
      <vt:lpstr>ChannelMaster</vt:lpstr>
      <vt:lpstr>SelectedPort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2023-06-25T17:29:11Z</dcterms:modified>
</cp:coreProperties>
</file>