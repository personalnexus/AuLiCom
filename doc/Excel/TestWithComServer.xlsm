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064" documentId="8_{33E53E1F-A3F6-4075-900F-54641BCFD3E8}" xr6:coauthVersionLast="47" xr6:coauthVersionMax="47" xr10:uidLastSave="{9DEE2EFC-E646-41A1-BB20-D7E31BA56B8D}"/>
  <bookViews>
    <workbookView xWindow="-120" yWindow="-120" windowWidth="38640" windowHeight="21240" activeTab="2" xr2:uid="{AB2CF87F-81B4-4088-AE2E-2820582A8761}"/>
  </bookViews>
  <sheets>
    <sheet name="Overview" sheetId="1" r:id="rId1"/>
    <sheet name="Scene Definition" sheetId="2" r:id="rId2"/>
    <sheet name="Scene Player" sheetId="4" r:id="rId3"/>
    <sheet name="Fixtures" sheetId="3" r:id="rId4"/>
  </sheets>
  <definedNames>
    <definedName name="ChannelManualMode">Overview!$K$1</definedName>
    <definedName name="ChannelMaster">Overview!$J$1</definedName>
    <definedName name="ChannelsVersion">Overview!$A$8</definedName>
    <definedName name="DmxVersion">Overview!$A$5</definedName>
    <definedName name="FixturesVersion">Overview!$A$6</definedName>
    <definedName name="FixtureTypes">OFFSET(Fixtures!$A$1,1,0,COUNTA(Fixtures!$A:$A)-1)</definedName>
    <definedName name="ScenesVersion">Overview!$A$7</definedName>
    <definedName name="SelectedPort">Overview!$A$4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G7" i="3" s="1" a="1"/>
  <c r="G7" i="3" s="1"/>
  <c r="F7" i="3" s="1" a="1"/>
  <c r="F7" i="3" s="1"/>
  <c r="B6" i="2"/>
  <c r="B7" i="2" s="1"/>
  <c r="B8" i="2" s="1"/>
  <c r="B9" i="2" s="1"/>
  <c r="B10" i="2" s="1"/>
  <c r="B11" i="2" s="1"/>
  <c r="B12" i="2" s="1"/>
  <c r="B13" i="2" s="1"/>
  <c r="C4" i="2" a="1"/>
  <c r="D4" i="2" a="1"/>
  <c r="G4" i="2" a="1"/>
  <c r="A5" i="1" a="1"/>
  <c r="H4" i="2" a="1"/>
  <c r="E4" i="2" a="1"/>
  <c r="A13" i="1" a="1"/>
  <c r="F4" i="2" a="1"/>
  <c r="A2" i="3" a="1"/>
  <c r="E4" i="1" a="1"/>
  <c r="K14" i="1" a="1"/>
  <c r="A6" i="1" a="1"/>
  <c r="I4" i="1" a="1"/>
  <c r="K10" i="1" a="1"/>
  <c r="K13" i="1" a="1"/>
  <c r="K11" i="1" a="1"/>
  <c r="K18" i="1" a="1"/>
  <c r="K15" i="1" a="1"/>
  <c r="K12" i="1" a="1"/>
  <c r="K17" i="1" a="1"/>
  <c r="E2" i="4" a="1"/>
  <c r="K9" i="1" a="1"/>
  <c r="A2" i="4" a="1"/>
  <c r="K8" i="1" a="1"/>
  <c r="A7" i="1" a="1"/>
  <c r="A8" i="1" a="1"/>
  <c r="K7" i="1" a="1"/>
  <c r="K16" i="1" a="1"/>
  <c r="H4" i="2" l="1"/>
  <c r="G4" i="2"/>
  <c r="E2" i="4"/>
  <c r="A2" i="4"/>
  <c r="A13" i="1"/>
  <c r="F4" i="2"/>
  <c r="E4" i="2"/>
  <c r="D4" i="2"/>
  <c r="C4" i="2"/>
  <c r="A7" i="1"/>
  <c r="A2" i="3"/>
  <c r="A8" i="1"/>
  <c r="A6" i="1"/>
  <c r="K17" i="1"/>
  <c r="K15" i="1"/>
  <c r="K13" i="1"/>
  <c r="K11" i="1"/>
  <c r="K9" i="1"/>
  <c r="K18" i="1"/>
  <c r="K16" i="1"/>
  <c r="K14" i="1"/>
  <c r="K12" i="1"/>
  <c r="K10" i="1"/>
  <c r="K8" i="1"/>
  <c r="K7" i="1"/>
  <c r="E4" i="1"/>
  <c r="I4" i="1"/>
  <c r="A5" i="1"/>
  <c r="C7" i="1" a="1"/>
  <c r="G2" i="3" a="1"/>
  <c r="I2" i="4" a="1"/>
  <c r="I2" i="4" l="1"/>
  <c r="G2" i="3"/>
  <c r="C7" i="1"/>
  <c r="F2" i="3" a="1"/>
  <c r="F2" i="3" l="1"/>
  <c r="E3" i="3"/>
  <c r="G3" i="3" a="1"/>
  <c r="G3" i="3" l="1"/>
  <c r="F3" i="3" a="1"/>
  <c r="F3" i="3" l="1"/>
  <c r="E4" i="3"/>
  <c r="G4" i="3" a="1"/>
  <c r="G4" i="3" l="1"/>
  <c r="F4" i="3" a="1"/>
  <c r="F4" i="3" l="1"/>
  <c r="E5" i="3"/>
  <c r="G5" i="3" a="1"/>
  <c r="G5" i="3" l="1"/>
  <c r="F5" i="3" a="1"/>
  <c r="F5" i="3" l="1"/>
  <c r="E6" i="3"/>
  <c r="G6" i="3" s="1" a="1"/>
  <c r="G6" i="3" l="1"/>
  <c r="F6" i="3" s="1" a="1"/>
  <c r="F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<sst xmlns="http://schemas.openxmlformats.org/spreadsheetml/2006/main" count="56" uniqueCount="47">
  <si>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</si>
  <si>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</si>
  <si>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</si>
  <si>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</si>
  <si>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</si>
  <si>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</si>
  <si>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</si>
  <si>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</si>
  <si>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</si>
  <si>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</si>
  <si>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</si>
  <si>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</si>
  <si>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</si>
  <si>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</si>
  <si>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</si>
  <si>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</si>
  <si>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</si>
  <si>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</si>
  <si>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COM6</t>
  </si>
  <si>
    <t>Mixed</t>
  </si>
  <si>
    <t>Fade Time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</si>
  <si>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</si>
  <si>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</si>
  <si>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</si>
  <si>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</si>
  <si>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</si>
  <si>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</si>
  <si>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</si>
  <si>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</si>
  <si>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</si>
  <si>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</si>
  <si>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</si>
  <si>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</si>
  <si>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</si>
  <si>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</si>
  <si>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</si>
  <si>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</si>
  <si>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</si>
  <si>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</si>
  <si>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</si>
  <si>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</si>
  <si>
    <t>Lamp3</t>
  </si>
  <si>
    <t>Select One Scene below</t>
  </si>
  <si>
    <t>clear</t>
  </si>
  <si>
    <t>Blue Only</t>
  </si>
  <si>
    <t>Green Only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</si>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</sst>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a3cbd282eabf403880ec8bd050db6482">
      <tp>
        <v>5</v>
        <stp/>
        <stp>13ecd79a-64b4-4a31-872b-0226e1eb18e9</stp>
        <tr r="I2" s="4"/>
        <tr r="I4" s="1"/>
      </tp>
      <tp>
        <v>4</v>
        <stp/>
        <stp>af1fae11-cc77-4d51-8954-e29b59522e16</stp>
        <tr r="A7" s="1"/>
      </tp>
      <tp>
        <v>202</v>
        <stp/>
        <stp>dfaaa146-27e0-4149-b4ba-8927169f49bd</stp>
        <tr r="A8" s="1"/>
      </tp>
      <tp>
        <v>4</v>
        <stp/>
        <stp>ab21b1f5-5def-4f6a-8181-bfe677646a12</stp>
        <tr r="A2" s="4"/>
      </tp>
      <tp>
        <v>5</v>
        <stp/>
        <stp>090c4748-bdb2-4928-8483-981873603d99</stp>
        <tr r="A6" s="1"/>
      </tp>
    </main>
    <main first="rtdsrv_a3cbd282eabf403880ec8bd050db6482">
      <tp>
        <v>5</v>
        <stp/>
        <stp>f5b230ea-fc3b-423b-b763-5f1f24a5d472</stp>
        <tr r="E2" s="4"/>
        <tr r="E4" s="1"/>
      </tp>
      <tp>
        <v>198</v>
        <stp/>
        <stp>cf08402d-37c2-4d8a-bc4c-92f14131cbb1</stp>
        <tr r="I2" s="4"/>
        <tr r="I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volatileDependencies" Target="volatileDependenci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workbookViewId="0">
      <selection activeCell="A22" sqref="A22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37</v>
      </c>
      <c r="E1" s="1" t="s">
        <v>10</v>
      </c>
      <c r="I1" t="s">
        <v>25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38</v>
      </c>
      <c r="E3" s="1" t="s">
        <v>29</v>
      </c>
      <c r="F3" s="1" t="s">
        <v>30</v>
      </c>
      <c r="G3" s="1" t="s">
        <v>28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18</v>
      </c>
      <c r="C4" s="10" t="s">
        <v>43</v>
      </c>
      <c r="E4" t="str" cm="1">
        <f t="array" ref="E4:H18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18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FIXTURES:4</v>
      </c>
      <c r="C6" s="1" t="s">
        <v>39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SCENES:6</v>
      </c>
      <c r="C7" s="9" t="str" cm="1">
        <f t="array" ref="C7">IF(C4="","no command",_xll.AuLiComExecuteCommand(DmxVersion,C4))</f>
        <v>DONE.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100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CHANNELS:211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100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e" cm="1">
        <f t="array" ref="A13">_xll.AuLiComGetDmxPorts(TRUE)</f>
        <v>#VALUE!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100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4"/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</row>
    <row r="20" spans="1:11" x14ac:dyDescent="0.25">
      <c r="C20" s="9"/>
    </row>
    <row r="21" spans="1:11" x14ac:dyDescent="0.25">
      <c r="C21" s="9"/>
    </row>
    <row r="22" spans="1:11" x14ac:dyDescent="0.25">
      <c r="C22" s="9"/>
    </row>
    <row r="23" spans="1:11" x14ac:dyDescent="0.25">
      <c r="C23" s="9"/>
    </row>
    <row r="24" spans="1:11" x14ac:dyDescent="0.25">
      <c r="C24" s="9"/>
    </row>
    <row r="25" spans="1:11" x14ac:dyDescent="0.25">
      <c r="C25" s="9"/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$A$12:$A$16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H13"/>
  <sheetViews>
    <sheetView workbookViewId="0">
      <selection activeCell="G11" sqref="G11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8" x14ac:dyDescent="0.25">
      <c r="A1" s="14" t="s">
        <v>21</v>
      </c>
      <c r="B1" s="14"/>
      <c r="C1" s="2" t="s">
        <v>19</v>
      </c>
      <c r="D1" s="2" t="s">
        <v>23</v>
      </c>
      <c r="E1" s="2" t="s">
        <v>22</v>
      </c>
      <c r="F1" s="2" t="s">
        <v>24</v>
      </c>
      <c r="G1" s="2" t="s">
        <v>44</v>
      </c>
      <c r="H1" s="2" t="s">
        <v>45</v>
      </c>
    </row>
    <row r="2" spans="1:8" x14ac:dyDescent="0.25">
      <c r="A2" s="8"/>
      <c r="B2" s="8"/>
    </row>
    <row r="3" spans="1:8" x14ac:dyDescent="0.25">
      <c r="A3" s="8"/>
      <c r="B3" s="8"/>
    </row>
    <row r="4" spans="1:8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</row>
    <row r="5" spans="1:8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</row>
    <row r="6" spans="1:8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</row>
    <row r="7" spans="1:8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</row>
    <row r="8" spans="1:8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</row>
    <row r="9" spans="1:8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</row>
    <row r="10" spans="1:8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</row>
    <row r="11" spans="1:8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</row>
    <row r="12" spans="1:8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</row>
    <row r="13" spans="1:8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16"/>
  <sheetViews>
    <sheetView tabSelected="1" workbookViewId="0">
      <selection activeCell="B6" sqref="B6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42</v>
      </c>
      <c r="B1" s="11" t="s">
        <v>20</v>
      </c>
      <c r="E1" s="1" t="s">
        <v>29</v>
      </c>
      <c r="F1" s="1" t="s">
        <v>30</v>
      </c>
      <c r="G1" s="1" t="s">
        <v>28</v>
      </c>
      <c r="H1" s="1" t="s">
        <v>13</v>
      </c>
      <c r="I1" s="1" t="s">
        <v>15</v>
      </c>
    </row>
    <row r="2" spans="1:9" x14ac:dyDescent="0.25">
      <c r="A2" s="12" t="str" cm="1">
        <f t="array" ref="A2:A7">_xll.AuLiComGetScenes()</f>
        <v>Green Only</v>
      </c>
      <c r="B2" s="12">
        <v>0.25</v>
      </c>
      <c r="E2" t="str" cm="1">
        <f t="array" ref="E2:H16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16" ca="1">_xll.AuLiComGetChannelValues(OFFSET($H$2,0,0,_xll.AuLiComGetFixtureChannelCountTotal(),1))</f>
        <v>0</v>
      </c>
    </row>
    <row r="3" spans="1:9" x14ac:dyDescent="0.25">
      <c r="A3" s="12" t="str">
        <v>Black</v>
      </c>
      <c r="B3" s="12">
        <v>0.5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All</v>
      </c>
      <c r="B4" s="12">
        <v>1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Mixed</v>
      </c>
      <c r="B5" s="12">
        <v>2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100</v>
      </c>
    </row>
    <row r="6" spans="1:9" x14ac:dyDescent="0.25">
      <c r="A6" s="12" t="str">
        <v>Red Only</v>
      </c>
      <c r="B6" s="12">
        <v>5</v>
      </c>
      <c r="C6" s="13" t="s">
        <v>46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0</v>
      </c>
    </row>
    <row r="7" spans="1:9" x14ac:dyDescent="0.25">
      <c r="A7" s="12" t="str">
        <v>Blue Only</v>
      </c>
      <c r="B7" s="12">
        <v>7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0</v>
      </c>
    </row>
    <row r="8" spans="1:9" x14ac:dyDescent="0.25">
      <c r="E8" t="str">
        <v>LED Bar</v>
      </c>
      <c r="F8" t="str">
        <v>CameoLedBar12Ch</v>
      </c>
      <c r="G8" t="str">
        <v>Red2</v>
      </c>
      <c r="H8">
        <v>7</v>
      </c>
      <c r="I8">
        <f ca="1"/>
        <v>100</v>
      </c>
    </row>
    <row r="9" spans="1:9" x14ac:dyDescent="0.25">
      <c r="E9" t="str">
        <v>LED Bar</v>
      </c>
      <c r="F9" t="str">
        <v>CameoLedBar12Ch</v>
      </c>
      <c r="G9" t="str">
        <v>Green2</v>
      </c>
      <c r="H9">
        <v>8</v>
      </c>
      <c r="I9">
        <f ca="1"/>
        <v>0</v>
      </c>
    </row>
    <row r="10" spans="1:9" x14ac:dyDescent="0.25"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100</v>
      </c>
    </row>
    <row r="12" spans="1:9" x14ac:dyDescent="0.25"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0</v>
      </c>
    </row>
    <row r="13" spans="1:9" x14ac:dyDescent="0.25"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C6" sqref="C6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36</v>
      </c>
      <c r="C1" s="1" t="s">
        <v>12</v>
      </c>
      <c r="D1" s="1" t="s">
        <v>33</v>
      </c>
      <c r="E1" s="1" t="s">
        <v>34</v>
      </c>
      <c r="F1" s="1" t="s">
        <v>35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26</v>
      </c>
      <c r="D2" s="2" t="s">
        <v>27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IF(AND(C2&lt;&gt;"",D2&lt;&gt;"",E2&lt;&gt;""),_xll.AuLiComSetFixture(DmxVersion,C2,D2,E2),"")</f>
        <v>Already exists</v>
      </c>
    </row>
    <row r="3" spans="1:11" x14ac:dyDescent="0.25">
      <c r="A3" t="str">
        <v>CameoLedBar3Ch2</v>
      </c>
      <c r="C3" s="2" t="s">
        <v>31</v>
      </c>
      <c r="D3" s="2" t="s">
        <v>32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IF(AND(C3&lt;&gt;"",D3&lt;&gt;"",E3&lt;&gt;""),_xll.AuLiComSetFixture(DmxVersion,C3,D3,E3),"")</f>
        <v>Already exists</v>
      </c>
    </row>
    <row r="4" spans="1:11" x14ac:dyDescent="0.25">
      <c r="A4" t="str">
        <v>CameoLedBar12Ch</v>
      </c>
      <c r="C4" s="2" t="s">
        <v>40</v>
      </c>
      <c r="D4" s="2" t="s">
        <v>32</v>
      </c>
      <c r="E4">
        <f t="shared" ref="E4:E7" si="0">IF(AND(C4&lt;&gt;"",D4&lt;&gt;""),E3+F3,"")</f>
        <v>14</v>
      </c>
      <c r="F4" cm="1">
        <f t="array" ref="F4">IF(G4&lt;&gt;"",_xll.AuLiComGetFixtureChannelCount(C4),"")</f>
        <v>1</v>
      </c>
      <c r="G4" s="3" t="str" cm="1">
        <f t="array" ref="G4">IF(AND(C4&lt;&gt;"",D4&lt;&gt;"",E4&lt;&gt;""),_xll.AuLiComSetFixture(DmxVersion,C4,D4,E4),"")</f>
        <v>Already exists</v>
      </c>
    </row>
    <row r="5" spans="1:11" x14ac:dyDescent="0.25">
      <c r="C5" s="2" t="s">
        <v>41</v>
      </c>
      <c r="D5" s="2" t="s">
        <v>32</v>
      </c>
      <c r="E5">
        <f t="shared" si="0"/>
        <v>15</v>
      </c>
      <c r="F5" cm="1">
        <f t="array" ref="F5">IF(G5&lt;&gt;"",_xll.AuLiComGetFixtureChannelCount(C5),"")</f>
        <v>1</v>
      </c>
      <c r="G5" s="3" t="str" cm="1">
        <f t="array" ref="G5">IF(AND(C5&lt;&gt;"",D5&lt;&gt;"",E5&lt;&gt;""),_xll.AuLiComSetFixture(DmxVersion,C5,D5,E5),"")</f>
        <v>Already exists</v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IF(AND(C6&lt;&gt;"",D6&lt;&gt;"",E6&lt;&gt;""),_xll.AuLiComSetFixture(DmxVersion,C6,D6,E6),"")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Overview</vt:lpstr>
      <vt:lpstr>Scene Definition</vt:lpstr>
      <vt:lpstr>Scene Player</vt:lpstr>
      <vt:lpstr>Fixtures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2023-07-12T15:30:43Z</dcterms:modified>
</cp:coreProperties>
</file>