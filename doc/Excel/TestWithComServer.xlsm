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138" documentId="8_{33E53E1F-A3F6-4075-900F-54641BCFD3E8}" xr6:coauthVersionLast="47" xr6:coauthVersionMax="47" xr10:uidLastSave="{AA5CD870-F802-4BDB-9604-0F5CA7328CEA}"/>
  <bookViews>
    <workbookView xWindow="-120" yWindow="-120" windowWidth="38640" windowHeight="21240" xr2:uid="{AB2CF87F-81B4-4088-AE2E-2820582A8761}"/>
  </bookViews>
  <sheets>
    <sheet name="Overview" sheetId="1" r:id="rId1"/>
    <sheet name="Scene Definition" sheetId="2" r:id="rId2"/>
    <sheet name="Scene Player" sheetId="4" r:id="rId3"/>
    <sheet name="Fixtures" sheetId="3" r:id="rId4"/>
  </sheets>
  <definedNames>
    <definedName name="ChannelManualMode">Overview!$K$1</definedName>
    <definedName name="ChannelMaster">Overview!$J$1</definedName>
    <definedName name="ChannelsVersion">Overview!$A$8</definedName>
    <definedName name="DmxVersion">Overview!$A$5</definedName>
    <definedName name="FixturesVersion">Overview!$A$6</definedName>
    <definedName name="FixtureTypes">OFFSET(Fixtures!$A$1,1,0,COUNTA(Fixtures!$A:$A)-1)</definedName>
    <definedName name="ScenesVersion">Overview!$A$7</definedName>
    <definedName name="SelectedPort">Overview!$A$4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7" i="2" s="1"/>
  <c r="B8" i="2" s="1"/>
  <c r="B9" i="2" s="1"/>
  <c r="B10" i="2" s="1"/>
  <c r="B11" i="2" s="1"/>
  <c r="B12" i="2" s="1"/>
  <c r="B13" i="2" s="1"/>
  <c r="A14" i="1" a="1"/>
  <c r="A6" i="1" a="1"/>
  <c r="F4" i="2" a="1"/>
  <c r="A8" i="1" a="1"/>
  <c r="D4" i="2" a="1"/>
  <c r="A2" i="3" a="1"/>
  <c r="G4" i="2" a="1"/>
  <c r="E4" i="2" a="1"/>
  <c r="H4" i="2" a="1"/>
  <c r="A7" i="1" a="1"/>
  <c r="E2" i="4" a="1"/>
  <c r="C4" i="2" a="1"/>
  <c r="A2" i="4" a="1"/>
  <c r="A5" i="1" a="1"/>
  <c r="E4" i="1" a="1"/>
  <c r="I4" i="1" a="1"/>
  <c r="K14" i="1" a="1"/>
  <c r="K13" i="1" a="1"/>
  <c r="K8" i="1" a="1"/>
  <c r="K17" i="1" a="1"/>
  <c r="K18" i="1" a="1"/>
  <c r="K7" i="1" a="1"/>
  <c r="K16" i="1" a="1"/>
  <c r="K12" i="1" a="1"/>
  <c r="K10" i="1" a="1"/>
  <c r="K15" i="1" a="1"/>
  <c r="K9" i="1" a="1"/>
  <c r="K11" i="1" a="1"/>
  <c r="A14" i="1" l="1"/>
  <c r="A6" i="1"/>
  <c r="C4" i="2"/>
  <c r="A2" i="4"/>
  <c r="E4" i="1"/>
  <c r="A2" i="3"/>
  <c r="H4" i="2"/>
  <c r="G4" i="2"/>
  <c r="E2" i="4"/>
  <c r="F4" i="2"/>
  <c r="E4" i="2"/>
  <c r="D4" i="2"/>
  <c r="A7" i="1"/>
  <c r="A8" i="1"/>
  <c r="K17" i="1"/>
  <c r="K15" i="1"/>
  <c r="K13" i="1"/>
  <c r="K11" i="1"/>
  <c r="K9" i="1"/>
  <c r="K18" i="1"/>
  <c r="K16" i="1"/>
  <c r="K14" i="1"/>
  <c r="K12" i="1"/>
  <c r="K10" i="1"/>
  <c r="K8" i="1"/>
  <c r="K7" i="1"/>
  <c r="I4" i="1"/>
  <c r="A5" i="1"/>
  <c r="G2" i="3" a="1"/>
  <c r="C7" i="1" a="1"/>
  <c r="I2" i="4" a="1"/>
  <c r="G2" i="3" l="1"/>
  <c r="I2" i="4"/>
  <c r="C7" i="1"/>
  <c r="F2" i="3" a="1"/>
  <c r="F2" i="3" l="1"/>
  <c r="E3" i="3"/>
  <c r="G3" i="3" a="1"/>
  <c r="G3" i="3" l="1"/>
  <c r="F3" i="3" a="1"/>
  <c r="F3" i="3" l="1"/>
  <c r="E4" i="3" s="1"/>
  <c r="G4" i="3" a="1"/>
  <c r="G4" i="3" l="1"/>
  <c r="F4" i="3" a="1"/>
  <c r="F4" i="3" l="1"/>
  <c r="E5" i="3" s="1"/>
  <c r="G5" i="3" a="1"/>
  <c r="G5" i="3" l="1"/>
  <c r="F5" i="3" a="1"/>
  <c r="F5" i="3" l="1"/>
  <c r="E6" i="3" s="1"/>
  <c r="G6" i="3" a="1"/>
  <c r="G6" i="3" l="1"/>
  <c r="F6" i="3" a="1"/>
  <c r="F6" i="3" l="1"/>
  <c r="E7" i="3" s="1"/>
  <c r="G7" i="3" a="1"/>
  <c r="G7" i="3" l="1"/>
  <c r="F7" i="3" a="1"/>
  <c r="F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<sst xmlns="http://schemas.openxmlformats.org/spreadsheetml/2006/main" count="57" uniqueCount="48">
  <si>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</si>
  <si>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</si>
  <si>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</si>
  <si>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</si>
  <si>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</si>
  <si>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</si>
  <si>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</si>
  <si>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</si>
  <si>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</si>
  <si>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</si>
  <si>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</si>
  <si>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</si>
  <si>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</si>
  <si>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</si>
  <si>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</si>
  <si>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</si>
  <si>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</si>
  <si>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</si>
  <si>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Mixed</t>
  </si>
  <si>
    <t>Fade Time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</si>
  <si>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</si>
  <si>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</si>
  <si>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</si>
  <si>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</si>
  <si>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</si>
  <si>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</si>
  <si>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</si>
  <si>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</si>
  <si>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</si>
  <si>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</si>
  <si>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</si>
  <si>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</si>
  <si>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</si>
  <si>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</si>
  <si>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</si>
  <si>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</si>
  <si>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</si>
  <si>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</si>
  <si>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</si>
  <si>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</si>
  <si>
    <t>Lamp3</t>
  </si>
  <si>
    <t>Select One Scene below</t>
  </si>
  <si>
    <t>Blue Only</t>
  </si>
  <si>
    <t>Green Only</t>
  </si>
  <si>
    <t>Empty</t>
  </si>
  <si>
    <t>Fluter</t>
  </si>
  <si>
    <t>CameoThunderWash600Rgbw7Ch2</t>
  </si>
  <si>
    <t>COM6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</si>
</sst>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bc4a94a00eae483db170d76d145d670b">
      <tp>
        <v>8</v>
        <stp/>
        <stp>c7e33587-0f17-46cc-b2ca-4143ba94ab5e</stp>
        <tr r="A2" s="4"/>
      </tp>
    </main>
    <main first="rtdsrv_bc4a94a00eae483db170d76d145d670b">
      <tp>
        <v>8</v>
        <stp/>
        <stp>95c25ecc-fbc2-452b-a796-b4888319bd75</stp>
        <tr r="I2" s="4"/>
        <tr r="I4" s="1"/>
      </tp>
      <tp>
        <v>200</v>
        <stp/>
        <stp>b4bb0972-a41f-4042-b245-bb6581cf51ad</stp>
        <tr r="I2" s="4"/>
        <tr r="I4" s="1"/>
      </tp>
    </main>
    <main first="rtdsrv_bc4a94a00eae483db170d76d145d670b">
      <tp>
        <v>8</v>
        <stp/>
        <stp>0ab6f255-0a0d-480e-94b2-1730029bb757</stp>
        <tr r="E4" s="1"/>
        <tr r="E2" s="4"/>
      </tp>
      <tp>
        <v>2</v>
        <stp/>
        <stp>e9103872-7339-4c9a-9e14-41e72f17cf99</stp>
        <tr r="A7" s="1"/>
      </tp>
      <tp>
        <v>3</v>
        <stp/>
        <stp>64d78b6a-ac7e-4b8b-bcf4-4678454d1bc4</stp>
        <tr r="A6" s="1"/>
      </tp>
      <tp>
        <v>307</v>
        <stp/>
        <stp>28364b09-4bee-4867-ac2e-47ad0255b738</stp>
        <tr r="A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volatileDependencies" Target="volatileDependenci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C4" sqref="C4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36</v>
      </c>
      <c r="E1" s="1" t="s">
        <v>10</v>
      </c>
      <c r="I1" t="s">
        <v>24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37</v>
      </c>
      <c r="E3" s="1" t="s">
        <v>28</v>
      </c>
      <c r="F3" s="1" t="s">
        <v>29</v>
      </c>
      <c r="G3" s="1" t="s">
        <v>27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47</v>
      </c>
      <c r="C4" s="10"/>
      <c r="E4" t="str" cm="1">
        <f t="array" ref="E4:H26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26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FIXTURES:7</v>
      </c>
      <c r="C6" s="1" t="s">
        <v>38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SCENES:7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CHANNELS:319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s">
        <v>44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3" t="e" cm="1">
        <f t="array" ref="A14">_xll.AuLiComGetDmxPorts(TRUE)</f>
        <v>#VALUE!</v>
      </c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  <c r="E19" t="str">
        <v>Fluter</v>
      </c>
      <c r="F19" t="str">
        <v>CameoThunderWash600Rgbw7Ch2</v>
      </c>
      <c r="G19" t="str">
        <v>Intensity</v>
      </c>
      <c r="H19">
        <v>16</v>
      </c>
      <c r="I19">
        <f ca="1"/>
        <v>0</v>
      </c>
    </row>
    <row r="20" spans="1:11" x14ac:dyDescent="0.25">
      <c r="C20" s="9"/>
      <c r="E20" t="str">
        <v>Fluter</v>
      </c>
      <c r="F20" t="str">
        <v>CameoThunderWash600Rgbw7Ch2</v>
      </c>
      <c r="G20" t="str">
        <v>StrobeSpeed</v>
      </c>
      <c r="H20">
        <v>17</v>
      </c>
      <c r="I20">
        <f ca="1"/>
        <v>0</v>
      </c>
    </row>
    <row r="21" spans="1:11" x14ac:dyDescent="0.25">
      <c r="C21" s="9"/>
      <c r="E21" t="str">
        <v>Fluter</v>
      </c>
      <c r="F21" t="str">
        <v>CameoThunderWash600Rgbw7Ch2</v>
      </c>
      <c r="G21" t="str">
        <v>FlashDuration</v>
      </c>
      <c r="H21">
        <v>18</v>
      </c>
      <c r="I21">
        <f ca="1"/>
        <v>0</v>
      </c>
    </row>
    <row r="22" spans="1:11" x14ac:dyDescent="0.25">
      <c r="C22" s="9"/>
      <c r="E22" t="str">
        <v>Fluter</v>
      </c>
      <c r="F22" t="str">
        <v>CameoThunderWash600Rgbw7Ch2</v>
      </c>
      <c r="G22" t="str">
        <v>Red</v>
      </c>
      <c r="H22">
        <v>19</v>
      </c>
      <c r="I22">
        <f ca="1"/>
        <v>0</v>
      </c>
    </row>
    <row r="23" spans="1:11" x14ac:dyDescent="0.25">
      <c r="C23" s="9"/>
      <c r="E23" t="str">
        <v>Fluter</v>
      </c>
      <c r="F23" t="str">
        <v>CameoThunderWash600Rgbw7Ch2</v>
      </c>
      <c r="G23" t="str">
        <v>Green</v>
      </c>
      <c r="H23">
        <v>20</v>
      </c>
      <c r="I23">
        <f ca="1"/>
        <v>0</v>
      </c>
    </row>
    <row r="24" spans="1:11" x14ac:dyDescent="0.25">
      <c r="C24" s="9"/>
      <c r="E24" t="str">
        <v>Fluter</v>
      </c>
      <c r="F24" t="str">
        <v>CameoThunderWash600Rgbw7Ch2</v>
      </c>
      <c r="G24" t="str">
        <v>Blue</v>
      </c>
      <c r="H24">
        <v>21</v>
      </c>
      <c r="I24">
        <f ca="1"/>
        <v>0</v>
      </c>
    </row>
    <row r="25" spans="1:11" x14ac:dyDescent="0.25">
      <c r="C25" s="9"/>
      <c r="E25" t="str">
        <v>Fluter</v>
      </c>
      <c r="F25" t="str">
        <v>CameoThunderWash600Rgbw7Ch2</v>
      </c>
      <c r="G25" t="str">
        <v>White</v>
      </c>
      <c r="H25">
        <v>22</v>
      </c>
      <c r="I25">
        <f ca="1"/>
        <v>0</v>
      </c>
    </row>
    <row r="26" spans="1:11" x14ac:dyDescent="0.25">
      <c r="C26" s="9"/>
      <c r="E26" t="str">
        <v>Lamp4</v>
      </c>
      <c r="F26" t="str">
        <v>GenericLamp</v>
      </c>
      <c r="G26" t="str">
        <v>Intensity</v>
      </c>
      <c r="H26">
        <v>23</v>
      </c>
      <c r="I26">
        <f ca="1"/>
        <v>0</v>
      </c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$A$13:$A$16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H13"/>
  <sheetViews>
    <sheetView workbookViewId="0">
      <selection activeCell="C5" sqref="C5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8" x14ac:dyDescent="0.25">
      <c r="A1" s="14" t="s">
        <v>20</v>
      </c>
      <c r="B1" s="14"/>
      <c r="C1" s="2" t="s">
        <v>18</v>
      </c>
      <c r="D1" s="2" t="s">
        <v>22</v>
      </c>
      <c r="E1" s="2" t="s">
        <v>21</v>
      </c>
      <c r="F1" s="2" t="s">
        <v>23</v>
      </c>
      <c r="G1" s="2" t="s">
        <v>42</v>
      </c>
      <c r="H1" s="2" t="s">
        <v>43</v>
      </c>
    </row>
    <row r="2" spans="1:8" x14ac:dyDescent="0.25">
      <c r="A2" s="8"/>
      <c r="B2" s="8"/>
    </row>
    <row r="3" spans="1:8" x14ac:dyDescent="0.25">
      <c r="A3" s="8"/>
      <c r="B3" s="8"/>
    </row>
    <row r="4" spans="1:8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</row>
    <row r="5" spans="1:8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</row>
    <row r="6" spans="1:8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</row>
    <row r="7" spans="1:8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</row>
    <row r="8" spans="1:8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</row>
    <row r="9" spans="1:8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</row>
    <row r="10" spans="1:8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</row>
    <row r="11" spans="1:8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</row>
    <row r="12" spans="1:8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</row>
    <row r="13" spans="1:8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24"/>
  <sheetViews>
    <sheetView workbookViewId="0">
      <selection activeCell="B3" sqref="B3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41</v>
      </c>
      <c r="B1" s="11" t="s">
        <v>19</v>
      </c>
      <c r="E1" s="1" t="s">
        <v>28</v>
      </c>
      <c r="F1" s="1" t="s">
        <v>29</v>
      </c>
      <c r="G1" s="1" t="s">
        <v>27</v>
      </c>
      <c r="H1" s="1" t="s">
        <v>13</v>
      </c>
      <c r="I1" s="1" t="s">
        <v>15</v>
      </c>
    </row>
    <row r="2" spans="1:9" x14ac:dyDescent="0.25">
      <c r="A2" s="12" t="str" cm="1">
        <f t="array" ref="A2:A7">_xll.AuLiComGetScenes()</f>
        <v>Mixed</v>
      </c>
      <c r="B2" s="12">
        <v>0.25</v>
      </c>
      <c r="E2" t="str" cm="1">
        <f t="array" ref="E2:H24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24" ca="1">_xll.AuLiComGetChannelValues(OFFSET($H$2,0,0,_xll.AuLiComGetFixtureChannelCountTotal(),1))</f>
        <v>0</v>
      </c>
    </row>
    <row r="3" spans="1:9" x14ac:dyDescent="0.25">
      <c r="A3" s="12" t="str">
        <v>All</v>
      </c>
      <c r="B3" s="12">
        <v>0.5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Red Only</v>
      </c>
      <c r="B4" s="12">
        <v>1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Blue Only</v>
      </c>
      <c r="B5" s="12">
        <v>2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0</v>
      </c>
    </row>
    <row r="6" spans="1:9" x14ac:dyDescent="0.25">
      <c r="A6" s="12" t="str">
        <v>Black</v>
      </c>
      <c r="B6" s="12">
        <v>5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0</v>
      </c>
    </row>
    <row r="7" spans="1:9" x14ac:dyDescent="0.25">
      <c r="A7" s="12" t="str">
        <v>Green Only</v>
      </c>
      <c r="B7" s="12">
        <v>7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0</v>
      </c>
    </row>
    <row r="8" spans="1:9" x14ac:dyDescent="0.25">
      <c r="E8" t="str">
        <v>LED Bar</v>
      </c>
      <c r="F8" t="str">
        <v>CameoLedBar12Ch</v>
      </c>
      <c r="G8" t="str">
        <v>Red2</v>
      </c>
      <c r="H8">
        <v>7</v>
      </c>
      <c r="I8">
        <f ca="1"/>
        <v>0</v>
      </c>
    </row>
    <row r="9" spans="1:9" x14ac:dyDescent="0.25">
      <c r="E9" t="str">
        <v>LED Bar</v>
      </c>
      <c r="F9" t="str">
        <v>CameoLedBar12Ch</v>
      </c>
      <c r="G9" t="str">
        <v>Green2</v>
      </c>
      <c r="H9">
        <v>8</v>
      </c>
      <c r="I9">
        <f ca="1"/>
        <v>0</v>
      </c>
    </row>
    <row r="10" spans="1:9" x14ac:dyDescent="0.25"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0</v>
      </c>
    </row>
    <row r="12" spans="1:9" x14ac:dyDescent="0.25"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0</v>
      </c>
    </row>
    <row r="13" spans="1:9" x14ac:dyDescent="0.25"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  <row r="17" spans="5:9" x14ac:dyDescent="0.25">
      <c r="E17" t="str">
        <v>Fluter</v>
      </c>
      <c r="F17" t="str">
        <v>CameoThunderWash600Rgbw7Ch2</v>
      </c>
      <c r="G17" t="str">
        <v>Intensity</v>
      </c>
      <c r="H17">
        <v>16</v>
      </c>
      <c r="I17">
        <f ca="1"/>
        <v>0</v>
      </c>
    </row>
    <row r="18" spans="5:9" x14ac:dyDescent="0.25">
      <c r="E18" t="str">
        <v>Fluter</v>
      </c>
      <c r="F18" t="str">
        <v>CameoThunderWash600Rgbw7Ch2</v>
      </c>
      <c r="G18" t="str">
        <v>StrobeSpeed</v>
      </c>
      <c r="H18">
        <v>17</v>
      </c>
      <c r="I18">
        <f ca="1"/>
        <v>0</v>
      </c>
    </row>
    <row r="19" spans="5:9" x14ac:dyDescent="0.25">
      <c r="E19" t="str">
        <v>Fluter</v>
      </c>
      <c r="F19" t="str">
        <v>CameoThunderWash600Rgbw7Ch2</v>
      </c>
      <c r="G19" t="str">
        <v>FlashDuration</v>
      </c>
      <c r="H19">
        <v>18</v>
      </c>
      <c r="I19">
        <f ca="1"/>
        <v>0</v>
      </c>
    </row>
    <row r="20" spans="5:9" x14ac:dyDescent="0.25">
      <c r="E20" t="str">
        <v>Fluter</v>
      </c>
      <c r="F20" t="str">
        <v>CameoThunderWash600Rgbw7Ch2</v>
      </c>
      <c r="G20" t="str">
        <v>Red</v>
      </c>
      <c r="H20">
        <v>19</v>
      </c>
      <c r="I20">
        <f ca="1"/>
        <v>0</v>
      </c>
    </row>
    <row r="21" spans="5:9" x14ac:dyDescent="0.25">
      <c r="E21" t="str">
        <v>Fluter</v>
      </c>
      <c r="F21" t="str">
        <v>CameoThunderWash600Rgbw7Ch2</v>
      </c>
      <c r="G21" t="str">
        <v>Green</v>
      </c>
      <c r="H21">
        <v>20</v>
      </c>
      <c r="I21">
        <f ca="1"/>
        <v>0</v>
      </c>
    </row>
    <row r="22" spans="5:9" x14ac:dyDescent="0.25">
      <c r="E22" t="str">
        <v>Fluter</v>
      </c>
      <c r="F22" t="str">
        <v>CameoThunderWash600Rgbw7Ch2</v>
      </c>
      <c r="G22" t="str">
        <v>Blue</v>
      </c>
      <c r="H22">
        <v>21</v>
      </c>
      <c r="I22">
        <f ca="1"/>
        <v>0</v>
      </c>
    </row>
    <row r="23" spans="5:9" x14ac:dyDescent="0.25">
      <c r="E23" t="str">
        <v>Fluter</v>
      </c>
      <c r="F23" t="str">
        <v>CameoThunderWash600Rgbw7Ch2</v>
      </c>
      <c r="G23" t="str">
        <v>White</v>
      </c>
      <c r="H23">
        <v>22</v>
      </c>
      <c r="I23">
        <f ca="1"/>
        <v>0</v>
      </c>
    </row>
    <row r="24" spans="5:9" x14ac:dyDescent="0.25">
      <c r="E24" t="str">
        <v>Lamp4</v>
      </c>
      <c r="F24" t="str">
        <v>GenericLamp</v>
      </c>
      <c r="G24" t="str">
        <v>Intensity</v>
      </c>
      <c r="H24">
        <v>23</v>
      </c>
      <c r="I24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C7" sqref="C7"/>
    </sheetView>
  </sheetViews>
  <sheetFormatPr defaultRowHeight="15" x14ac:dyDescent="0.25"/>
  <cols>
    <col min="1" max="1" width="28.7109375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35</v>
      </c>
      <c r="C1" s="1" t="s">
        <v>12</v>
      </c>
      <c r="D1" s="1" t="s">
        <v>32</v>
      </c>
      <c r="E1" s="1" t="s">
        <v>33</v>
      </c>
      <c r="F1" s="1" t="s">
        <v>34</v>
      </c>
      <c r="G1" s="1"/>
      <c r="K1" s="1"/>
    </row>
    <row r="2" spans="1:11" x14ac:dyDescent="0.25">
      <c r="A2" t="str" cm="1">
        <f t="array" ref="A2:A7">_xll.AuLiComGetFixtureTypes()</f>
        <v>GenericLamp</v>
      </c>
      <c r="C2" s="2" t="s">
        <v>25</v>
      </c>
      <c r="D2" s="2" t="s">
        <v>26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IF(AND(C2&lt;&gt;"",D2&lt;&gt;"",E2&lt;&gt;""),_xll.AuLiComSetFixture(DmxVersion,C2,D2,E2),"")</f>
        <v>Already exists</v>
      </c>
    </row>
    <row r="3" spans="1:11" x14ac:dyDescent="0.25">
      <c r="A3" t="str">
        <v>CameoLedBar3Ch2</v>
      </c>
      <c r="C3" s="2" t="s">
        <v>30</v>
      </c>
      <c r="D3" s="2" t="s">
        <v>31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IF(AND(C3&lt;&gt;"",D3&lt;&gt;"",E3&lt;&gt;""),_xll.AuLiComSetFixture(DmxVersion,C3,D3,E3),"")</f>
        <v>Already exists</v>
      </c>
    </row>
    <row r="4" spans="1:11" x14ac:dyDescent="0.25">
      <c r="A4" t="str">
        <v>CameoLedBar12Ch</v>
      </c>
      <c r="C4" s="2" t="s">
        <v>39</v>
      </c>
      <c r="D4" s="2" t="s">
        <v>31</v>
      </c>
      <c r="E4">
        <f t="shared" ref="E4:E7" si="0">IF(AND(C4&lt;&gt;"",D4&lt;&gt;""),E3+F3,"")</f>
        <v>14</v>
      </c>
      <c r="F4" cm="1">
        <f t="array" ref="F4">IF(G4&lt;&gt;"",_xll.AuLiComGetFixtureChannelCount(C4),"")</f>
        <v>1</v>
      </c>
      <c r="G4" s="3" t="str" cm="1">
        <f t="array" ref="G4">IF(AND(C4&lt;&gt;"",D4&lt;&gt;"",E4&lt;&gt;""),_xll.AuLiComSetFixture(DmxVersion,C4,D4,E4),"")</f>
        <v>Already exists</v>
      </c>
    </row>
    <row r="5" spans="1:11" x14ac:dyDescent="0.25">
      <c r="A5" t="str">
        <v>CameoPixBar650CPro3Ch1</v>
      </c>
      <c r="C5" s="2" t="s">
        <v>40</v>
      </c>
      <c r="D5" s="2" t="s">
        <v>31</v>
      </c>
      <c r="E5">
        <f t="shared" si="0"/>
        <v>15</v>
      </c>
      <c r="F5" cm="1">
        <f t="array" ref="F5">IF(G5&lt;&gt;"",_xll.AuLiComGetFixtureChannelCount(C5),"")</f>
        <v>1</v>
      </c>
      <c r="G5" s="3" t="str" cm="1">
        <f t="array" ref="G5">IF(AND(C5&lt;&gt;"",D5&lt;&gt;"",E5&lt;&gt;""),_xll.AuLiComSetFixture(DmxVersion,C5,D5,E5),"")</f>
        <v>Already exists</v>
      </c>
    </row>
    <row r="6" spans="1:11" x14ac:dyDescent="0.25">
      <c r="A6" t="str">
        <v>CameoPixBar650CPro3Ch2</v>
      </c>
      <c r="C6" s="2" t="s">
        <v>45</v>
      </c>
      <c r="D6" s="2" t="s">
        <v>46</v>
      </c>
      <c r="E6">
        <f t="shared" si="0"/>
        <v>16</v>
      </c>
      <c r="F6" cm="1">
        <f t="array" ref="F6">IF(G6&lt;&gt;"",_xll.AuLiComGetFixtureChannelCount(C6),"")</f>
        <v>7</v>
      </c>
      <c r="G6" s="3" t="str" cm="1">
        <f t="array" ref="G6">IF(AND(C6&lt;&gt;"",D6&lt;&gt;"",E6&lt;&gt;""),_xll.AuLiComSetFixture(DmxVersion,C6,D6,E6),"")</f>
        <v>Already exists</v>
      </c>
    </row>
    <row r="7" spans="1:11" x14ac:dyDescent="0.25">
      <c r="A7" t="str">
        <v>CameoThunderWash600Rgbw7Ch2</v>
      </c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Overview</vt:lpstr>
      <vt:lpstr>Scene Definition</vt:lpstr>
      <vt:lpstr>Scene Player</vt:lpstr>
      <vt:lpstr>Fixtures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2023-07-23T18:05:56Z</dcterms:modified>
</cp:coreProperties>
</file>