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212" documentId="8_{33E53E1F-A3F6-4075-900F-54641BCFD3E8}" xr6:coauthVersionLast="47" xr6:coauthVersionMax="47" xr10:uidLastSave="{2964BBE9-9048-407C-BBED-D35286B8F7A4}"/>
  <bookViews>
    <workbookView xWindow="-120" yWindow="-120" windowWidth="38640" windowHeight="21240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ManualMode">Channels!$I$1</definedName>
    <definedName name="ChannelMaster">Channels!$H$1</definedName>
    <definedName name="ChannelsVersion">Overview!$A$6</definedName>
    <definedName name="ChaserKinds">OFFSET(Overview!$C$2,0,0,COUNTA(Overview!$C:$C)-1)</definedName>
    <definedName name="DmxVersion">Overview!$A$3</definedName>
    <definedName name="FixturesVersion">Overview!$A$4</definedName>
    <definedName name="FixtureTypes">OFFSET(Overview!$D$2,0,0,COUNTA(Overview!$D:$D)-1)</definedName>
    <definedName name="SceneNames">OFFSET(Overview!$E$2,0,0,COUNTA(Overview!$E:$E)-1)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9" l="1" a="1"/>
  <c r="D1" i="9" s="1"/>
  <c r="D8" i="9" s="1" a="1"/>
  <c r="D8" i="9" s="1"/>
  <c r="E1" i="9" a="1"/>
  <c r="E1" i="9" s="1"/>
  <c r="E8" i="9" s="1" a="1"/>
  <c r="E8" i="9" s="1"/>
  <c r="F1" i="9" a="1"/>
  <c r="F1" i="9" s="1"/>
  <c r="F8" i="9" s="1" a="1"/>
  <c r="F8" i="9" s="1"/>
  <c r="G1" i="9" a="1"/>
  <c r="G1" i="9" s="1"/>
  <c r="G8" i="9" s="1" a="1"/>
  <c r="G8" i="9" s="1"/>
  <c r="H1" i="9" a="1"/>
  <c r="H1" i="9" s="1"/>
  <c r="H8" i="9" s="1" a="1"/>
  <c r="H8" i="9" s="1"/>
  <c r="F14" i="1" a="1"/>
  <c r="F14" i="1" s="1"/>
  <c r="F15" i="1" a="1"/>
  <c r="F15" i="1" s="1"/>
  <c r="F16" i="1" a="1"/>
  <c r="F16" i="1" s="1"/>
  <c r="Q1" i="2" a="1"/>
  <c r="Q1" i="2" s="1"/>
  <c r="R1" i="2" a="1"/>
  <c r="R1" i="2" s="1"/>
  <c r="S1" i="2" a="1"/>
  <c r="S1" i="2" s="1"/>
  <c r="C2" i="1" a="1"/>
  <c r="D2" i="1" a="1"/>
  <c r="C1" i="9" a="1"/>
  <c r="B1" i="9" a="1"/>
  <c r="A4" i="2" a="1"/>
  <c r="E1" i="2" a="1"/>
  <c r="L1" i="2" a="1"/>
  <c r="P1" i="2" a="1"/>
  <c r="M1" i="2" a="1"/>
  <c r="J1" i="2" a="1"/>
  <c r="E2" i="1" a="1"/>
  <c r="I1" i="2" a="1"/>
  <c r="K1" i="2" a="1"/>
  <c r="N1" i="2" a="1"/>
  <c r="O1" i="2" a="1"/>
  <c r="G1" i="2" a="1"/>
  <c r="F1" i="2" a="1"/>
  <c r="H1" i="2" a="1"/>
  <c r="C1" i="9" l="1"/>
  <c r="B1" i="9"/>
  <c r="P1" i="2"/>
  <c r="O1" i="2"/>
  <c r="K1" i="2"/>
  <c r="G1" i="2"/>
  <c r="N1" i="2"/>
  <c r="M1" i="2"/>
  <c r="I1" i="2"/>
  <c r="L1" i="2"/>
  <c r="J1" i="2"/>
  <c r="H1" i="2"/>
  <c r="F1" i="2"/>
  <c r="E1" i="2"/>
  <c r="D2" i="1"/>
  <c r="E2" i="1"/>
  <c r="A4" i="2"/>
  <c r="C2" i="1"/>
  <c r="A7" i="8" a="1"/>
  <c r="F13" i="1" a="1"/>
  <c r="F7" i="1" a="1"/>
  <c r="F6" i="1" a="1"/>
  <c r="F8" i="1" a="1"/>
  <c r="F5" i="1" a="1"/>
  <c r="F12" i="1" a="1"/>
  <c r="F9" i="1" a="1"/>
  <c r="F4" i="1" a="1"/>
  <c r="F11" i="1" a="1"/>
  <c r="F10" i="1" a="1"/>
  <c r="F3" i="1" a="1"/>
  <c r="C8" i="9" a="1"/>
  <c r="B8" i="9" a="1"/>
  <c r="F2" i="1" a="1"/>
  <c r="C4" i="8" a="1"/>
  <c r="I12" i="8" a="1"/>
  <c r="I8" i="8" a="1"/>
  <c r="I17" i="8" a="1"/>
  <c r="I5" i="8" a="1"/>
  <c r="I37" i="8" a="1"/>
  <c r="I21" i="8" a="1"/>
  <c r="I48" i="8" a="1"/>
  <c r="I46" i="8" a="1"/>
  <c r="I22" i="8" a="1"/>
  <c r="I36" i="8" a="1"/>
  <c r="I20" i="8" a="1"/>
  <c r="I40" i="8" a="1"/>
  <c r="I43" i="8" a="1"/>
  <c r="I27" i="8" a="1"/>
  <c r="I7" i="8" a="1"/>
  <c r="I38" i="8" a="1"/>
  <c r="I13" i="8" a="1"/>
  <c r="I23" i="8" a="1"/>
  <c r="I15" i="8" a="1"/>
  <c r="I16" i="8" a="1"/>
  <c r="I53" i="8" a="1"/>
  <c r="I50" i="8" a="1"/>
  <c r="I9" i="8" a="1"/>
  <c r="I29" i="8" a="1"/>
  <c r="I32" i="8" a="1"/>
  <c r="I45" i="8" a="1"/>
  <c r="I26" i="8" a="1"/>
  <c r="I35" i="8" a="1"/>
  <c r="I19" i="8" a="1"/>
  <c r="I54" i="8" a="1"/>
  <c r="I44" i="8" a="1"/>
  <c r="I39" i="8" a="1"/>
  <c r="I10" i="8" a="1"/>
  <c r="I25" i="8" a="1"/>
  <c r="I42" i="8" a="1"/>
  <c r="I49" i="8" a="1"/>
  <c r="I11" i="8" a="1"/>
  <c r="I18" i="8" a="1"/>
  <c r="I41" i="8" a="1"/>
  <c r="I47" i="8" a="1"/>
  <c r="I52" i="8" a="1"/>
  <c r="I4" i="8" a="1"/>
  <c r="I24" i="8" a="1"/>
  <c r="I28" i="8" a="1"/>
  <c r="I51" i="8" a="1"/>
  <c r="I34" i="8" a="1"/>
  <c r="I14" i="8" a="1"/>
  <c r="I33" i="8" a="1"/>
  <c r="I30" i="8" a="1"/>
  <c r="I31" i="8" a="1"/>
  <c r="I6" i="8" a="1"/>
  <c r="C8" i="9" l="1"/>
  <c r="B8" i="9"/>
  <c r="F9" i="1"/>
  <c r="F12" i="1"/>
  <c r="F11" i="1"/>
  <c r="F13" i="1"/>
  <c r="F8" i="1"/>
  <c r="F10" i="1"/>
  <c r="F3" i="1"/>
  <c r="F6" i="1"/>
  <c r="F5" i="1"/>
  <c r="F7" i="1"/>
  <c r="F4" i="1"/>
  <c r="F2" i="1"/>
  <c r="I51" i="8"/>
  <c r="I54" i="8"/>
  <c r="I53" i="8"/>
  <c r="I50" i="8"/>
  <c r="I49" i="8"/>
  <c r="I52" i="8"/>
  <c r="A7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5" i="5" a="1"/>
  <c r="AB4" i="5" a="1"/>
  <c r="G4" i="8" a="1"/>
  <c r="G4" i="8" l="1"/>
  <c r="AB5" i="5"/>
  <c r="AB4" i="5"/>
  <c r="A3" i="1" a="1"/>
  <c r="A12" i="1" a="1"/>
  <c r="A5" i="1" a="1"/>
  <c r="A2" i="4" a="1"/>
  <c r="A4" i="1" a="1"/>
  <c r="A6" i="1" a="1"/>
  <c r="A12" i="1" l="1"/>
  <c r="A4" i="1"/>
  <c r="A2" i="4"/>
  <c r="A5" i="1"/>
  <c r="A6" i="1"/>
  <c r="A3" i="1"/>
  <c r="F36" i="3" a="1"/>
  <c r="F15" i="3" a="1"/>
  <c r="F30" i="3" a="1"/>
  <c r="F34" i="3" a="1"/>
  <c r="F8" i="3" a="1"/>
  <c r="F14" i="3" a="1"/>
  <c r="F20" i="3" a="1"/>
  <c r="F22" i="3" a="1"/>
  <c r="F29" i="3" a="1"/>
  <c r="F28" i="3" a="1"/>
  <c r="F23" i="3" a="1"/>
  <c r="F9" i="3" a="1"/>
  <c r="F24" i="3" a="1"/>
  <c r="F25" i="3" a="1"/>
  <c r="F6" i="3" a="1"/>
  <c r="F19" i="3" a="1"/>
  <c r="F31" i="3" a="1"/>
  <c r="F11" i="3" a="1"/>
  <c r="F7" i="3" a="1"/>
  <c r="F18" i="3" a="1"/>
  <c r="F37" i="3" a="1"/>
  <c r="F35" i="3" a="1"/>
  <c r="F32" i="3" a="1"/>
  <c r="F13" i="3" a="1"/>
  <c r="F26" i="3" a="1"/>
  <c r="F21" i="3" a="1"/>
  <c r="F33" i="3" a="1"/>
  <c r="F4" i="3" a="1"/>
  <c r="F38" i="3" a="1"/>
  <c r="F27" i="3" a="1"/>
  <c r="F17" i="3" a="1"/>
  <c r="F5" i="3" a="1"/>
  <c r="F12" i="3" a="1"/>
  <c r="F3" i="3" a="1"/>
  <c r="F16" i="3" a="1"/>
  <c r="F39" i="3" a="1"/>
  <c r="F2" i="3" a="1"/>
  <c r="F10" i="3" a="1"/>
  <c r="F22" i="3" l="1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10" i="3" a="1"/>
  <c r="D19" i="3" a="1"/>
  <c r="D8" i="3" a="1"/>
  <c r="D3" i="3" a="1"/>
  <c r="D5" i="3" a="1"/>
  <c r="D16" i="3" a="1"/>
  <c r="D15" i="3" a="1"/>
  <c r="D39" i="3" a="1"/>
  <c r="D36" i="3" a="1"/>
  <c r="D7" i="3" a="1"/>
  <c r="D6" i="3" a="1"/>
  <c r="D34" i="3" a="1"/>
  <c r="D26" i="3" a="1"/>
  <c r="D28" i="3" a="1"/>
  <c r="D14" i="3" a="1"/>
  <c r="D27" i="3" a="1"/>
  <c r="D38" i="3" a="1"/>
  <c r="D29" i="3" a="1"/>
  <c r="D22" i="3" a="1"/>
  <c r="D12" i="3" a="1"/>
  <c r="D21" i="3" a="1"/>
  <c r="D30" i="3" a="1"/>
  <c r="D9" i="3" a="1"/>
  <c r="D23" i="3" a="1"/>
  <c r="D37" i="3" a="1"/>
  <c r="D11" i="3" a="1"/>
  <c r="D18" i="3" a="1"/>
  <c r="D32" i="3" a="1"/>
  <c r="D4" i="3" a="1"/>
  <c r="D31" i="3" a="1"/>
  <c r="D33" i="3" a="1"/>
  <c r="D2" i="3" a="1"/>
  <c r="D13" i="3" a="1"/>
  <c r="D24" i="3" a="1"/>
  <c r="D20" i="3" a="1"/>
  <c r="D25" i="3" a="1"/>
  <c r="D17" i="3" a="1"/>
  <c r="D35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<sst xmlns="http://schemas.openxmlformats.org/spreadsheetml/2006/main" count="153" uniqueCount="105">
  <si>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</si>
  <si>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</si>
  <si>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</si>
  <si>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</si>
  <si>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</si>
  <si>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</si>
  <si>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</si>
  <si>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</si>
  <si>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</si>
  <si>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</si>
  <si>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</si>
  <si>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</si>
  <si>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</si>
  <si>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</si>
  <si>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</si>
  <si>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</si>
  <si>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</si>
  <si>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</si>
  <si>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</si>
  <si>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</si>
  <si>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</si>
  <si>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</si>
  <si>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</si>
  <si>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</si>
  <si>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</si>
  <si>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</si>
  <si>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</si>
  <si>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</si>
  <si>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</si>
  <si>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</si>
  <si>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</si>
  <si>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</si>
  <si>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</si>
  <si>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</si>
  <si>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</si>
  <si>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</si>
  <si>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</si>
  <si>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</si>
  <si>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</si>
  <si>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</si>
  <si>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</si>
  <si>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</si>
  <si>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</si>
  <si>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</si>
  <si>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</si>
  <si>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</si>
  <si>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</si>
  <si>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</si>
  <si>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</si>
  <si>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</si>
  <si>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</si>
  <si>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</si>
  <si>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</si>
  <si>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</si>
  <si>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</si>
  <si>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</si>
  <si>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</si>
  <si>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</si>
  <si>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</si>
  <si>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</si>
  <si>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</si>
  <si>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</si>
  <si>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</si>
  <si>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</si>
  <si>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</si>
  <si>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</si>
  <si>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</si>
  <si>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</si>
  <si>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</si>
  <si>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</si>
  <si>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</si>
  <si>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</si>
  <si>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</si>
  <si>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</si>
  <si>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</si>
  <si>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</si>
  <si>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</si>
  <si>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</si>
  <si>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</si>
  <si>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</si>
  <si>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</si>
  <si>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</si>
  <si>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</si>
  <si>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</si>
  <si>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</si>
  <si>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</si>
  <si>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</si>
  <si>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</si>
  <si>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</si>
  <si>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</si>
  <si>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</si>
  <si>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</si>
  <si>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</si>
  <si>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</si>
  <si>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</si>
  <si>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</si>
  <si>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</si>
  <si>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</si>
  <si>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</si>
  <si>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</si>
  <si>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</si>
  <si>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</si>
  <si>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</si>
  <si>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</si>
  <si>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DMX6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</si>
</sst>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9" fillId="2" borderId="2" xfId="1" applyFont="1" applyBorder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94671963a7664f0eb05c6548a2955ea2">
      <tp>
        <v>8</v>
        <stp/>
        <stp>79be64de-dd7b-4a16-8d5c-5f2301e4013f</stp>
        <tr r="F5" s="1"/>
      </tp>
    </main>
    <main first="rtdsrv_94671963a7664f0eb05c6548a2955ea2">
      <tp>
        <v>2</v>
        <stp/>
        <stp>1068cdbc-feae-410b-9a8a-5df86eeb4c1b</stp>
        <tr r="F6" s="1"/>
      </tp>
      <tp>
        <v>8</v>
        <stp/>
        <stp>7894823e-9a3d-4385-9a3b-308ae70b870d</stp>
        <tr r="F11" s="1"/>
      </tp>
      <tp>
        <v>8</v>
        <stp/>
        <stp>b5f43b7f-adc9-4cf5-8c23-e61026abd580</stp>
        <tr r="F8" s="1"/>
      </tp>
    </main>
    <main first="rtdsrv_94671963a7664f0eb05c6548a2955ea2">
      <tp>
        <v>20</v>
        <stp/>
        <stp>f2896991-d8e1-4b16-b5f8-35cb28d60270</stp>
        <tr r="A2" s="4"/>
        <tr r="E2" s="1"/>
      </tp>
    </main>
    <main first="rtdsrv_94671963a7664f0eb05c6548a2955ea2">
      <tp>
        <v>8</v>
        <stp/>
        <stp>72d9bb63-5291-45ef-a932-bf4fdd7e6267</stp>
        <tr r="F7" s="1"/>
      </tp>
      <tp>
        <v>39</v>
        <stp/>
        <stp>0bd5576f-806f-4c89-8446-acfab89f880a</stp>
        <tr r="C4" s="8"/>
        <tr r="A4" s="2"/>
      </tp>
    </main>
    <main first="rtdsrv_94671963a7664f0eb05c6548a2955ea2">
      <tp>
        <v>8</v>
        <stp/>
        <stp>edf5045d-cbc3-48d2-8e5d-f1eceb473e20</stp>
        <tr r="F3" s="1"/>
      </tp>
      <tp>
        <v>20</v>
        <stp/>
        <stp>8ac69cd5-e747-4d48-9228-1fc23ba6e466</stp>
        <tr r="A5" s="1"/>
      </tp>
    </main>
    <main first="rtdsrv_94671963a7664f0eb05c6548a2955ea2">
      <tp>
        <v>39</v>
        <stp/>
        <stp>182ecff4-fd3b-4bed-8efe-6132f6b9ca42</stp>
        <tr r="A4" s="1"/>
      </tp>
      <tp>
        <v>8</v>
        <stp/>
        <stp>682b7ddf-800b-47d8-b032-566e05f8e062</stp>
        <tr r="F12" s="1"/>
      </tp>
      <tp>
        <v>8</v>
        <stp/>
        <stp>29eae0c0-5543-4a5f-a664-f42b2b8b8d58</stp>
        <tr r="F2" s="1"/>
      </tp>
      <tp>
        <v>8</v>
        <stp/>
        <stp>8e60c8c3-6145-4182-9a78-f3284717d40a</stp>
        <tr r="F13" s="1"/>
      </tp>
      <tp>
        <v>39</v>
        <stp/>
        <stp>0dec1ad5-2e70-4db8-a6fc-4e6aee2d0087</stp>
        <tr r="G4" s="8"/>
        <tr r="H1" s="2"/>
        <tr r="H1" s="2"/>
        <tr r="F1" s="2"/>
        <tr r="F1" s="2"/>
        <tr r="G1" s="2"/>
        <tr r="G1" s="2"/>
        <tr r="O1" s="2"/>
        <tr r="O1" s="2"/>
        <tr r="N1" s="2"/>
        <tr r="N1" s="2"/>
        <tr r="K1" s="2"/>
        <tr r="K1" s="2"/>
        <tr r="I1" s="2"/>
        <tr r="I1" s="2"/>
        <tr r="J1" s="2"/>
        <tr r="J1" s="2"/>
        <tr r="M1" s="2"/>
        <tr r="M1" s="2"/>
        <tr r="P1" s="2"/>
        <tr r="P1" s="2"/>
        <tr r="L1" s="2"/>
        <tr r="L1" s="2"/>
        <tr r="E1" s="2"/>
        <tr r="E1" s="2"/>
      </tp>
    </main>
    <main first="rtdsrv_94671963a7664f0eb05c6548a2955ea2">
      <tp>
        <v>461</v>
        <stp/>
        <stp>dfc71360-ccba-4620-aa88-debec25be1b5</stp>
        <tr r="A6" s="1"/>
      </tp>
    </main>
    <main first="rtdsrv_94671963a7664f0eb05c6548a2955ea2">
      <tp>
        <v>8</v>
        <stp/>
        <stp>a505fb81-d1cd-4d83-99e2-f2fba28b3022</stp>
        <tr r="F10" s="1"/>
      </tp>
    </main>
    <main first="rtdsrv_94671963a7664f0eb05c6548a2955ea2">
      <tp>
        <v>410</v>
        <stp/>
        <stp>2a259433-25f0-4183-86d3-4e8474538080</stp>
        <tr r="G4" s="8"/>
      </tp>
      <tp>
        <v>8</v>
        <stp/>
        <stp>b798d5dd-54af-4907-a9cc-ae8b1d11e3bf</stp>
        <tr r="F9" s="1"/>
      </tp>
    </main>
    <main first="rtdsrv_94671963a7664f0eb05c6548a2955ea2">
      <tp>
        <v>8</v>
        <stp/>
        <stp>b1c570b8-427c-4de5-8c7b-d8ced94bfd1a</stp>
        <tr r="F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76200</xdr:rowOff>
        </xdr:from>
        <xdr:to>
          <xdr:col>0</xdr:col>
          <xdr:colOff>1038225</xdr:colOff>
          <xdr:row>7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7"/>
  <sheetViews>
    <sheetView tabSelected="1" workbookViewId="0">
      <selection activeCell="A3" sqref="A3"/>
    </sheetView>
  </sheetViews>
  <sheetFormatPr defaultRowHeight="15" x14ac:dyDescent="0.25"/>
  <cols>
    <col min="1" max="1" width="21.7109375" customWidth="1"/>
    <col min="3" max="3" width="17.7109375" customWidth="1"/>
    <col min="4" max="4" width="38.7109375" customWidth="1"/>
    <col min="5" max="5" width="13.7109375" bestFit="1" customWidth="1"/>
  </cols>
  <sheetData>
    <row r="1" spans="1:12" x14ac:dyDescent="0.25">
      <c r="A1" s="1" t="s">
        <v>93</v>
      </c>
      <c r="C1" s="11" t="s">
        <v>91</v>
      </c>
      <c r="D1" s="1" t="s">
        <v>92</v>
      </c>
      <c r="E1" s="1" t="s">
        <v>95</v>
      </c>
    </row>
    <row r="2" spans="1:12" x14ac:dyDescent="0.25">
      <c r="A2" s="2" t="s">
        <v>104</v>
      </c>
      <c r="C2" t="str" cm="1">
        <f t="array" ref="C2:C5">_xll.AuLiComGetChaserTypes()</f>
        <v>Once</v>
      </c>
      <c r="D2" t="str" cm="1">
        <f t="array" ref="D2:D16">_xlfn._xlws.SORT(_xll.AuLiComGetFixtureTypes())</f>
        <v>AriaPc</v>
      </c>
      <c r="E2" t="str" cm="1">
        <f t="array" ref="E2:E13">_xlfn._xlws.SORT(_xll.AuLiComGetScenes())</f>
        <v>Blue1</v>
      </c>
      <c r="F2" t="str" cm="1">
        <f t="array" ref="F2">IF(E2="","",_xll.AuLiComGetSceneChannelPercentages(E2))</f>
        <v>45@100</v>
      </c>
    </row>
    <row r="3" spans="1:12" x14ac:dyDescent="0.25">
      <c r="A3" s="3" t="str" cm="1">
        <f t="array" ref="A3">_xll.AuLiComSetDmxConnection(SelectedPort)</f>
        <v>DMX:Empty</v>
      </c>
      <c r="C3" t="str">
        <v>Loop</v>
      </c>
      <c r="D3" t="str">
        <v>CameoLedBar_12Ch</v>
      </c>
      <c r="E3" t="str">
        <v>Blue2</v>
      </c>
      <c r="F3" t="str" cm="1">
        <f t="array" ref="F3">IF(E3="","",_xll.AuLiComGetSceneChannelPercentages(E3))</f>
        <v>48@100</v>
      </c>
      <c r="L3" s="1"/>
    </row>
    <row r="4" spans="1:12" x14ac:dyDescent="0.25">
      <c r="A4" s="3" t="str" cm="1">
        <f t="array" ref="A4">"FIXTURES:"&amp;_xll.AuLiComGetFixturesVersion()</f>
        <v>FIXTURES:39</v>
      </c>
      <c r="C4" t="str">
        <v>BackAndForth</v>
      </c>
      <c r="D4" t="str">
        <v>CameoLedBar_3Ch2</v>
      </c>
      <c r="E4" t="str">
        <v>Blue3</v>
      </c>
      <c r="F4" t="str" cm="1">
        <f t="array" ref="F4">IF(E4="","",_xll.AuLiComGetSceneChannelPercentages(E4))</f>
        <v>51@100</v>
      </c>
    </row>
    <row r="5" spans="1:12" x14ac:dyDescent="0.25">
      <c r="A5" s="3" t="str" cm="1">
        <f t="array" ref="A5">"SCENES:"&amp;_xll.AuLiComGetScenesVersion()</f>
        <v>SCENES:20</v>
      </c>
      <c r="C5" t="str">
        <v>Random</v>
      </c>
      <c r="D5" t="str">
        <v>CameoPixBar650CPro_3Ch1</v>
      </c>
      <c r="E5" t="str">
        <v>Blue4</v>
      </c>
      <c r="F5" t="str" cm="1">
        <f t="array" ref="F5">IF(E5="","",_xll.AuLiComGetSceneChannelPercentages(E5))</f>
        <v>54@100</v>
      </c>
    </row>
    <row r="6" spans="1:12" x14ac:dyDescent="0.25">
      <c r="A6" s="3" t="str" cm="1">
        <f t="array" ref="A6">"CHANNELS:"&amp;_xll.AuLiComGetChannelsVersion()</f>
        <v>CHANNELS:512</v>
      </c>
      <c r="D6" t="str">
        <v>CameoPixBar650CPro_3Ch2</v>
      </c>
      <c r="E6" t="str">
        <v>Green1</v>
      </c>
      <c r="F6" t="str" cm="1">
        <f t="array" ref="F6">IF(E6="","",_xll.AuLiComGetSceneChannelPercentages(E6))</f>
        <v>44@100</v>
      </c>
    </row>
    <row r="7" spans="1:12" x14ac:dyDescent="0.25">
      <c r="D7" t="str">
        <v>CameoThunderWash600Rgbw_7Ch2</v>
      </c>
      <c r="E7" t="str">
        <v>Green2</v>
      </c>
      <c r="F7" t="str" cm="1">
        <f t="array" ref="F7">IF(E7="","",_xll.AuLiComGetSceneChannelPercentages(E7))</f>
        <v>47@100</v>
      </c>
    </row>
    <row r="8" spans="1:12" x14ac:dyDescent="0.25">
      <c r="D8" t="str">
        <v>CantataPc</v>
      </c>
      <c r="E8" t="str">
        <v>Green3</v>
      </c>
      <c r="F8" t="str" cm="1">
        <f t="array" ref="F8">IF(E8="","",_xll.AuLiComGetSceneChannelPercentages(E8))</f>
        <v>50@100</v>
      </c>
    </row>
    <row r="9" spans="1:12" x14ac:dyDescent="0.25">
      <c r="D9" t="str">
        <v>CantataProfiler</v>
      </c>
      <c r="E9" t="str">
        <v>Green4</v>
      </c>
      <c r="F9" t="str" cm="1">
        <f t="array" ref="F9">IF(E9="","",_xll.AuLiComGetSceneChannelPercentages(E9))</f>
        <v>53@100</v>
      </c>
    </row>
    <row r="10" spans="1:12" x14ac:dyDescent="0.25">
      <c r="A10" s="4" t="s">
        <v>0</v>
      </c>
      <c r="D10" t="str">
        <v>ElationKl4Fresnel_1Ch</v>
      </c>
      <c r="E10" t="str">
        <v>Red1</v>
      </c>
      <c r="F10" t="str" cm="1">
        <f t="array" ref="F10">IF(E10="","",_xll.AuLiComGetSceneChannelPercentages(E10))</f>
        <v>43@100</v>
      </c>
    </row>
    <row r="11" spans="1:12" x14ac:dyDescent="0.25">
      <c r="A11" s="3" t="s">
        <v>19</v>
      </c>
      <c r="D11" t="str">
        <v>GenericLamp</v>
      </c>
      <c r="E11" t="str">
        <v>Red2</v>
      </c>
      <c r="F11" t="str" cm="1">
        <f t="array" ref="F11">IF(E11="","",_xll.AuLiComGetSceneChannelPercentages(E11))</f>
        <v>46@100</v>
      </c>
    </row>
    <row r="12" spans="1:12" x14ac:dyDescent="0.25">
      <c r="A12" s="3" t="e" cm="1">
        <f t="array" ref="A12">_xll.AuLiComGetDmxPorts(TRUE)</f>
        <v>#VALUE!</v>
      </c>
      <c r="D12" t="str">
        <v>OtherPc</v>
      </c>
      <c r="E12" t="str">
        <v>Red3</v>
      </c>
      <c r="F12" t="str" cm="1">
        <f t="array" ref="F12">IF(E12="","",_xll.AuLiComGetSceneChannelPercentages(E12))</f>
        <v>49@100</v>
      </c>
    </row>
    <row r="13" spans="1:12" x14ac:dyDescent="0.25">
      <c r="D13" t="str">
        <v>Par56Silver</v>
      </c>
      <c r="E13" t="str">
        <v>Red4</v>
      </c>
      <c r="F13" t="str" cm="1">
        <f t="array" ref="F13">IF(E13="","",_xll.AuLiComGetSceneChannelPercentages(E13))</f>
        <v>52@100</v>
      </c>
    </row>
    <row r="14" spans="1:12" x14ac:dyDescent="0.25">
      <c r="D14" t="str">
        <v>Par64</v>
      </c>
      <c r="F14" t="str" cm="1">
        <f t="array" ref="F14">IF(E14="","",_xll.AuLiComGetSceneChannelPercentages(E14))</f>
        <v/>
      </c>
    </row>
    <row r="15" spans="1:12" x14ac:dyDescent="0.25">
      <c r="D15" t="str">
        <v>Profiler</v>
      </c>
      <c r="F15" t="str" cm="1">
        <f t="array" ref="F15">IF(E15="","",_xll.AuLiComGetSceneChannelPercentages(E15))</f>
        <v/>
      </c>
    </row>
    <row r="16" spans="1:12" x14ac:dyDescent="0.25">
      <c r="A16" s="3"/>
      <c r="D16" t="str">
        <v>Quartz</v>
      </c>
      <c r="F16" t="str" cm="1">
        <f t="array" ref="F16">IF(E16="","",_xll.AuLiComGetSceneChannelPercentages(E16))</f>
        <v/>
      </c>
    </row>
    <row r="17" spans="1:1" x14ac:dyDescent="0.25">
      <c r="A17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6</xdr:row>
                    <xdr:rowOff>76200</xdr:rowOff>
                  </from>
                  <to>
                    <xdr:col>0</xdr:col>
                    <xdr:colOff>1038225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56" sqref="B56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E13" sqref="E13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4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/>
      </c>
      <c r="E1" s="3" t="str" cm="1">
        <f t="array" ref="E1">IF(E3="",
       "",
       IF(COUNTIF(3:3,E3)&gt;1,
             "Color Name must be unique",
             _xll.AuLiComSetColor(E3,E4,E5,E6)))</f>
        <v/>
      </c>
      <c r="F1" s="3" t="str" cm="1">
        <f t="array" ref="F1">IF(F3="",
       "",
       IF(COUNTIF(3:3,F3)&gt;1,
             "Color Name must be unique",
             _xll.AuLiComSetColor(F3,F4,F5,F6)))</f>
        <v/>
      </c>
      <c r="G1" s="3" t="str" cm="1">
        <f t="array" ref="G1">IF(G3="",
       "",
       IF(COUNTIF(3:3,G3)&gt;1,
             "Color Name must be unique",
             _xll.AuLiComSetColor(G3,G4,G5,G6)))</f>
        <v/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/>
      <c r="E3" s="12"/>
      <c r="F3" s="12"/>
      <c r="G3" s="12"/>
      <c r="H3" s="12"/>
    </row>
    <row r="4" spans="1:8" x14ac:dyDescent="0.25">
      <c r="A4" t="s">
        <v>96</v>
      </c>
      <c r="B4" s="2">
        <v>100</v>
      </c>
      <c r="C4" s="2">
        <v>100</v>
      </c>
      <c r="D4" s="2"/>
      <c r="E4" s="2"/>
      <c r="F4" s="2"/>
      <c r="G4" s="2"/>
      <c r="H4" s="2"/>
    </row>
    <row r="5" spans="1:8" x14ac:dyDescent="0.25">
      <c r="A5" t="s">
        <v>97</v>
      </c>
      <c r="B5" s="2">
        <v>50</v>
      </c>
      <c r="C5" s="2">
        <v>50</v>
      </c>
      <c r="D5" s="2"/>
      <c r="E5" s="2"/>
      <c r="F5" s="2"/>
      <c r="G5" s="2"/>
      <c r="H5" s="2"/>
    </row>
    <row r="6" spans="1:8" x14ac:dyDescent="0.25">
      <c r="A6" t="s">
        <v>98</v>
      </c>
      <c r="B6" s="2">
        <v>0</v>
      </c>
      <c r="C6" s="2">
        <v>100</v>
      </c>
      <c r="D6" s="2"/>
      <c r="E6" s="2"/>
      <c r="F6" s="2"/>
      <c r="G6" s="2"/>
      <c r="H6" s="2"/>
    </row>
    <row r="8" spans="1:8" s="15" customFormat="1" ht="45" x14ac:dyDescent="0.25">
      <c r="A8" s="16" t="s">
        <v>100</v>
      </c>
      <c r="B8" s="17" t="str" cm="1">
        <f t="array" ref="B8">IF(B1&lt;&gt;"",HYPERLINK(PreviewColor(B8,B4,B5,B6),B3),"")</f>
        <v>Orange</v>
      </c>
      <c r="C8" s="18" t="str" cm="1">
        <f t="array" ref="C8">IF(C1&lt;&gt;"",HYPERLINK(PreviewColor(C8,C4,C5,C6),C3),"")</f>
        <v>Pink</v>
      </c>
      <c r="D8" s="15" t="str" cm="1">
        <f t="array" ref="D8">IF(D1&lt;&gt;"",HYPERLINK(PreviewColor(D8,D4,D5,D6),D3),"")</f>
        <v/>
      </c>
      <c r="E8" s="15" t="str" cm="1">
        <f t="array" ref="E8">IF(E1&lt;&gt;"",HYPERLINK(PreviewColor(E8,E4,E5,E6),E3),"")</f>
        <v/>
      </c>
      <c r="F8" s="15" t="str" cm="1">
        <f t="array" ref="F8">IF(F1&lt;&gt;"",HYPERLINK(PreviewColor(F8,F4,F5,F6),F3),"")</f>
        <v/>
      </c>
      <c r="G8" s="15" t="str" cm="1">
        <f t="array" ref="G8">IF(G1&lt;&gt;"",HYPERLINK(PreviewColor(G8,G4,G5,G6),G3),"")</f>
        <v/>
      </c>
      <c r="H8" s="15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S54"/>
  <sheetViews>
    <sheetView workbookViewId="0">
      <pane ySplit="3" topLeftCell="A24" activePane="bottomLeft" state="frozen"/>
      <selection pane="bottomLeft" activeCell="E43" sqref="E43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19" x14ac:dyDescent="0.25">
      <c r="C1" s="1"/>
      <c r="D1" s="14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19" x14ac:dyDescent="0.25">
      <c r="C2" s="5"/>
      <c r="D2" s="5"/>
      <c r="E2" s="1" t="s">
        <v>87</v>
      </c>
    </row>
    <row r="3" spans="1:19" x14ac:dyDescent="0.25">
      <c r="A3" s="1" t="s">
        <v>9</v>
      </c>
      <c r="B3" s="1" t="s">
        <v>12</v>
      </c>
      <c r="C3" s="1" t="s">
        <v>86</v>
      </c>
      <c r="D3" s="1" t="s">
        <v>3</v>
      </c>
      <c r="E3" s="12" t="s">
        <v>26</v>
      </c>
      <c r="F3" s="12" t="s">
        <v>28</v>
      </c>
      <c r="G3" s="12" t="s">
        <v>27</v>
      </c>
      <c r="H3" s="12" t="s">
        <v>88</v>
      </c>
      <c r="I3" s="12" t="s">
        <v>32</v>
      </c>
      <c r="J3" s="12" t="s">
        <v>33</v>
      </c>
      <c r="K3" s="13" t="s">
        <v>34</v>
      </c>
      <c r="L3" s="13" t="s">
        <v>89</v>
      </c>
      <c r="M3" s="13" t="s">
        <v>29</v>
      </c>
      <c r="N3" s="13" t="s">
        <v>30</v>
      </c>
      <c r="O3" s="13" t="s">
        <v>31</v>
      </c>
      <c r="P3" s="13" t="s">
        <v>90</v>
      </c>
      <c r="Q3" s="13"/>
      <c r="R3" s="13"/>
      <c r="S3" s="13"/>
    </row>
    <row r="4" spans="1:19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t="str">
        <v>Special über der Bühne</v>
      </c>
      <c r="B42" t="str">
        <v>Par64</v>
      </c>
      <c r="C42" t="str">
        <v>Intensity</v>
      </c>
      <c r="D42">
        <v>41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</row>
    <row r="46" spans="1:19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</row>
    <row r="49" spans="1:19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</row>
    <row r="52" spans="1:19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</row>
    <row r="54" spans="1:19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workbookViewId="0">
      <selection activeCell="A4" sqref="A4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/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IF(ChannelManualMode,_xll.AuLiComSetChannelValue(F4,H4*ChannelMaster%),"")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IF(ChannelManualMode,_xll.AuLiComSetChannelValue(F5,H5*ChannelMaster%),"")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IF(ChannelManualMode,_xll.AuLiComSetChannelValue(F6,H6*ChannelMaster%),"")</f>
        <v>3</v>
      </c>
    </row>
    <row r="7" spans="1:9" x14ac:dyDescent="0.25">
      <c r="A7" s="6" t="str" cm="1">
        <f t="array" ref="A7">IF(A4="","no command",_xll.AuLiComExecuteCommand(DmxVersion,A4))</f>
        <v>no command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IF(ChannelManualMode,_xll.AuLiComSetChannelValue(F7,H7*ChannelMaster%),"")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IF(ChannelManualMode,_xll.AuLiComSetChannelValue(F8,H8*ChannelMaster%),"")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IF(ChannelManualMode,_xll.AuLiComSetChannelValue(F9,H9*ChannelMaster%),"")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IF(ChannelManualMode,_xll.AuLiComSetChannelValue(F10,H10*ChannelMaster%),"")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IF(ChannelManualMode,_xll.AuLiComSetChannelValue(F11,H11*ChannelMaster%),"")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IF(ChannelManualMode,_xll.AuLiComSetChannelValue(F12,H12*ChannelMaster%),"")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IF(ChannelManualMode,_xll.AuLiComSetChannelValue(F13,H13*ChannelMaster%),"")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IF(ChannelManualMode,_xll.AuLiComSetChannelValue(F14,H14*ChannelMaster%),"")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IF(ChannelManualMode,_xll.AuLiComSetChannelValue(F15,H15*ChannelMaster%),"")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IF(ChannelManualMode,_xll.AuLiComSetChannelValue(F16,H16*ChannelMaster%),"")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IF(ChannelManualMode,_xll.AuLiComSetChannelValue(F17,H17*ChannelMaster%),"")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IF(ChannelManualMode,_xll.AuLiComSetChannelValue(F18,H18*ChannelMaster%),"")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IF(ChannelManualMode,_xll.AuLiComSetChannelValue(F19,H19*ChannelMaster%),"")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IF(ChannelManualMode,_xll.AuLiComSetChannelValue(F20,H20*ChannelMaster%),"")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IF(ChannelManualMode,_xll.AuLiComSetChannelValue(F21,H21*ChannelMaster%),"")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IF(ChannelManualMode,_xll.AuLiComSetChannelValue(F22,H22*ChannelMaster%),"")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IF(ChannelManualMode,_xll.AuLiComSetChannelValue(F23,H23*ChannelMaster%),"")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IF(ChannelManualMode,_xll.AuLiComSetChannelValue(F24,H24*ChannelMaster%),"")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IF(ChannelManualMode,_xll.AuLiComSetChannelValue(F25,H25*ChannelMaster%),"")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IF(ChannelManualMode,_xll.AuLiComSetChannelValue(F26,H26*ChannelMaster%),"")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IF(ChannelManualMode,_xll.AuLiComSetChannelValue(F27,H27*ChannelMaster%),"")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IF(ChannelManualMode,_xll.AuLiComSetChannelValue(F28,H28*ChannelMaster%),"")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IF(ChannelManualMode,_xll.AuLiComSetChannelValue(F29,H29*ChannelMaster%),"")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IF(ChannelManualMode,_xll.AuLiComSetChannelValue(F30,H30*ChannelMaster%),"")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IF(ChannelManualMode,_xll.AuLiComSetChannelValue(F31,H31*ChannelMaster%),"")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IF(ChannelManualMode,_xll.AuLiComSetChannelValue(F32,H32*ChannelMaster%),"")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IF(ChannelManualMode,_xll.AuLiComSetChannelValue(F33,H33*ChannelMaster%),"")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IF(ChannelManualMode,_xll.AuLiComSetChannelValue(F34,H34*ChannelMaster%),"")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IF(ChannelManualMode,_xll.AuLiComSetChannelValue(F35,H35*ChannelMaster%),"")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IF(ChannelManualMode,_xll.AuLiComSetChannelValue(F36,H36*ChannelMaster%),"")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IF(ChannelManualMode,_xll.AuLiComSetChannelValue(F37,H37*ChannelMaster%),"")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IF(ChannelManualMode,_xll.AuLiComSetChannelValue(F38,H38*ChannelMaster%),"")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IF(ChannelManualMode,_xll.AuLiComSetChannelValue(F39,H39*ChannelMaster%),"")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IF(ChannelManualMode,_xll.AuLiComSetChannelValue(F40,H40*ChannelMaster%),"")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IF(ChannelManualMode,_xll.AuLiComSetChannelValue(F41,H41*ChannelMaster%),"")</f>
        <v>39</v>
      </c>
    </row>
    <row r="42" spans="1:9" x14ac:dyDescent="0.25">
      <c r="A42" s="6"/>
      <c r="C42" t="str">
        <v>Special über der Bühne</v>
      </c>
      <c r="D42" t="str">
        <v>Par64</v>
      </c>
      <c r="E42" t="str">
        <v>Intensity</v>
      </c>
      <c r="F42">
        <v>41</v>
      </c>
      <c r="G42">
        <f ca="1"/>
        <v>0</v>
      </c>
      <c r="H42" s="2">
        <v>0</v>
      </c>
      <c r="I42" s="3" cm="1">
        <f t="array" ref="I42">IF(ChannelManualMode,_xll.AuLiComSetChannelValue(F42,H42*ChannelMaster%),"")</f>
        <v>41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IF(ChannelManualMode,_xll.AuLiComSetChannelValue(F43,H43*ChannelMaster%),"")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IF(ChannelManualMode,_xll.AuLiComSetChannelValue(F44,H44*ChannelMaster%),"")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IF(ChannelManualMode,_xll.AuLiComSetChannelValue(F45,H45*ChannelMaster%),"")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IF(ChannelManualMode,_xll.AuLiComSetChannelValue(F46,H46*ChannelMaster%),"")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IF(ChannelManualMode,_xll.AuLiComSetChannelValue(F47,H47*ChannelMaster%),"")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IF(ChannelManualMode,_xll.AuLiComSetChannelValue(F48,H48*ChannelMaster%),"")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IF(ChannelManualMode,_xll.AuLiComSetChannelValue(F49,H49*ChannelMaster%),"")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IF(ChannelManualMode,_xll.AuLiComSetChannelValue(F50,H50*ChannelMaster%),"")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IF(ChannelManualMode,_xll.AuLiComSetChannelValue(F51,H51*ChannelMaster%),"")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IF(ChannelManualMode,_xll.AuLiComSetChannelValue(F52,H52*ChannelMaster%),"")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IF(ChannelManualMode,_xll.AuLiComSetChannelValue(F53,H53*ChannelMaster%),"")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IF(ChannelManualMode,_xll.AuLiComSetChannelValue(F54,H54*ChannelMaster%),"")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whole" allowBlank="1" showInputMessage="1" showErrorMessage="1" sqref="H4:H54" xr:uid="{852C5ADF-B2F9-434A-B063-004409CD4BDA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Red4</v>
      </c>
      <c r="B2" s="9">
        <v>1</v>
      </c>
    </row>
    <row r="3" spans="1:2" x14ac:dyDescent="0.25">
      <c r="A3" s="9" t="str">
        <v>Red2</v>
      </c>
      <c r="B3" s="9">
        <v>1</v>
      </c>
    </row>
    <row r="4" spans="1:2" x14ac:dyDescent="0.25">
      <c r="A4" s="9" t="str">
        <v>Red3</v>
      </c>
      <c r="B4" s="9">
        <v>1</v>
      </c>
    </row>
    <row r="5" spans="1:2" x14ac:dyDescent="0.25">
      <c r="A5" s="9" t="str">
        <v>Blue3</v>
      </c>
      <c r="B5" s="9">
        <v>1</v>
      </c>
    </row>
    <row r="6" spans="1:2" x14ac:dyDescent="0.25">
      <c r="A6" s="9" t="str">
        <v>Blue2</v>
      </c>
      <c r="B6" s="9">
        <v>1</v>
      </c>
    </row>
    <row r="7" spans="1:2" x14ac:dyDescent="0.25">
      <c r="A7" s="9" t="str">
        <v>Green3</v>
      </c>
      <c r="B7" s="9">
        <v>1</v>
      </c>
    </row>
    <row r="8" spans="1:2" x14ac:dyDescent="0.25">
      <c r="A8" s="9" t="str">
        <v>Red1</v>
      </c>
      <c r="B8" s="9">
        <v>1</v>
      </c>
    </row>
    <row r="9" spans="1:2" x14ac:dyDescent="0.25">
      <c r="A9" s="9" t="str">
        <v>Green4</v>
      </c>
      <c r="B9" s="9">
        <v>1</v>
      </c>
    </row>
    <row r="10" spans="1:2" x14ac:dyDescent="0.25">
      <c r="A10" s="9" t="str">
        <v>Blue4</v>
      </c>
      <c r="B10" s="9">
        <v>1</v>
      </c>
    </row>
    <row r="11" spans="1:2" x14ac:dyDescent="0.25">
      <c r="A11" s="9" t="str">
        <v>Blue1</v>
      </c>
      <c r="B11" s="9">
        <v>1</v>
      </c>
    </row>
    <row r="12" spans="1:2" x14ac:dyDescent="0.25">
      <c r="A12" s="9" t="str">
        <v>Green2</v>
      </c>
      <c r="B12" s="9">
        <v>1</v>
      </c>
    </row>
    <row r="13" spans="1:2" x14ac:dyDescent="0.25">
      <c r="A13" s="9" t="str">
        <v>Green1</v>
      </c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B5" sqref="B5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" t="s">
        <v>25</v>
      </c>
      <c r="B4" s="2" t="s">
        <v>24</v>
      </c>
      <c r="C4" s="2">
        <v>100</v>
      </c>
      <c r="D4" s="2" t="s">
        <v>26</v>
      </c>
      <c r="E4" s="2" t="s">
        <v>28</v>
      </c>
      <c r="F4" s="2" t="s">
        <v>27</v>
      </c>
      <c r="G4" s="2" t="s">
        <v>88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35</v>
      </c>
      <c r="B5" s="2" t="s">
        <v>36</v>
      </c>
      <c r="C5" s="2">
        <v>150</v>
      </c>
      <c r="D5" s="2" t="s">
        <v>26</v>
      </c>
      <c r="E5" s="2" t="s">
        <v>28</v>
      </c>
      <c r="F5" s="2" t="s">
        <v>27</v>
      </c>
      <c r="G5" s="2" t="s">
        <v>88</v>
      </c>
      <c r="H5" s="2" t="s">
        <v>32</v>
      </c>
      <c r="I5" s="2" t="s">
        <v>33</v>
      </c>
      <c r="J5" s="2" t="s">
        <v>34</v>
      </c>
      <c r="K5" s="2" t="s">
        <v>89</v>
      </c>
      <c r="L5" s="2" t="s">
        <v>29</v>
      </c>
      <c r="M5" s="2" t="s">
        <v>30</v>
      </c>
      <c r="N5" s="2" t="s">
        <v>31</v>
      </c>
      <c r="O5" s="2" t="s">
        <v>90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2023-08-19T18:27:22Z</dcterms:modified>
</cp:coreProperties>
</file>