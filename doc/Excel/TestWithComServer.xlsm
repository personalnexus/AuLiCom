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1483" documentId="8_{33E53E1F-A3F6-4075-900F-54641BCFD3E8}" xr6:coauthVersionLast="47" xr6:coauthVersionMax="47" xr10:uidLastSave="{F8922E0A-9F7E-4137-A626-7AB54B9C604C}"/>
  <bookViews>
    <workbookView xWindow="-120" yWindow="-120" windowWidth="38640" windowHeight="21240" xr2:uid="{AB2CF87F-81B4-4088-AE2E-2820582A8761}"/>
  </bookViews>
  <sheets>
    <sheet name="Overview" sheetId="1" r:id="rId1"/>
    <sheet name="Scene Definition" sheetId="2" r:id="rId2"/>
    <sheet name="Scene Player" sheetId="4" r:id="rId3"/>
    <sheet name="Chasers" sheetId="5" r:id="rId4"/>
    <sheet name="Fixtures" sheetId="3" r:id="rId5"/>
    <sheet name="Parameters" sheetId="7" r:id="rId6"/>
  </sheets>
  <definedNames>
    <definedName name="ChannelManualMode">Overview!$K$1</definedName>
    <definedName name="ChannelMaster">Overview!$J$1</definedName>
    <definedName name="ChannelsVersion">Overview!$A$8</definedName>
    <definedName name="ChaserKinds">OFFSET(Parameters!$A$2,0,0,COUNTA(Parameters!$A:$A)-1)</definedName>
    <definedName name="DmxVersion">Overview!$A$5</definedName>
    <definedName name="FixturesVersion">Overview!$A$6</definedName>
    <definedName name="FixtureTypes">OFFSET(Parameters!$B$2,0,0,COUNTA(Parameters!$B:$B)-1)</definedName>
    <definedName name="SceneNames">OFFSET(Parameters!$C$2,0,0,COUNTA(Parameters!$C:$C)-1)</definedName>
    <definedName name="ScenesVersion">Overview!$A$7</definedName>
    <definedName name="SelectedPort">Overview!$A$4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1" i="5" l="1" a="1"/>
  <c r="AB21" i="5" s="1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7" i="5" a="1"/>
  <c r="AB7" i="5" s="1"/>
  <c r="AB6" i="5" a="1"/>
  <c r="L4" i="2" a="1"/>
  <c r="N4" i="2" a="1"/>
  <c r="P4" i="2" a="1"/>
  <c r="M4" i="2" a="1"/>
  <c r="O4" i="2" a="1"/>
  <c r="Q4" i="2" a="1"/>
  <c r="B2" i="7" a="1"/>
  <c r="AB4" i="5" a="1"/>
  <c r="A2" i="7" a="1"/>
  <c r="AB5" i="5" a="1"/>
  <c r="C2" i="7" a="1"/>
  <c r="AB6" i="5" l="1"/>
  <c r="Q4" i="2"/>
  <c r="O4" i="2"/>
  <c r="M4" i="2"/>
  <c r="P4" i="2"/>
  <c r="N4" i="2"/>
  <c r="L4" i="2"/>
  <c r="AB5" i="5"/>
  <c r="AB4" i="5"/>
  <c r="C2" i="7"/>
  <c r="B2" i="7"/>
  <c r="A2" i="7"/>
  <c r="B6" i="2"/>
  <c r="A14" i="1" a="1"/>
  <c r="A5" i="1" a="1"/>
  <c r="E4" i="1" a="1"/>
  <c r="K13" i="1" a="1"/>
  <c r="K10" i="1" a="1"/>
  <c r="K17" i="1" a="1"/>
  <c r="A8" i="1" a="1"/>
  <c r="K8" i="1" a="1"/>
  <c r="A6" i="1" a="1"/>
  <c r="K16" i="1" a="1"/>
  <c r="K11" i="1" a="1"/>
  <c r="K7" i="1" a="1"/>
  <c r="K15" i="1" a="1"/>
  <c r="K9" i="1" a="1"/>
  <c r="A2" i="4" a="1"/>
  <c r="E2" i="4" a="1"/>
  <c r="A7" i="1" a="1"/>
  <c r="K12" i="1" a="1"/>
  <c r="K18" i="1" a="1"/>
  <c r="K14" i="1" a="1"/>
  <c r="B7" i="2" l="1"/>
  <c r="A14" i="1"/>
  <c r="A6" i="1"/>
  <c r="A2" i="4"/>
  <c r="E4" i="1"/>
  <c r="E2" i="4"/>
  <c r="A7" i="1"/>
  <c r="A8" i="1"/>
  <c r="K17" i="1"/>
  <c r="K15" i="1"/>
  <c r="K13" i="1"/>
  <c r="K11" i="1"/>
  <c r="K9" i="1"/>
  <c r="K18" i="1"/>
  <c r="K16" i="1"/>
  <c r="K14" i="1"/>
  <c r="K12" i="1"/>
  <c r="K10" i="1"/>
  <c r="K8" i="1"/>
  <c r="K7" i="1"/>
  <c r="A5" i="1"/>
  <c r="C7" i="1" a="1"/>
  <c r="E2" i="3" a="1"/>
  <c r="I4" i="1" a="1"/>
  <c r="I2" i="4" a="1"/>
  <c r="B8" i="2" l="1"/>
  <c r="I4" i="1"/>
  <c r="E2" i="3"/>
  <c r="I2" i="4"/>
  <c r="C7" i="1"/>
  <c r="D2" i="3" a="1"/>
  <c r="B9" i="2" l="1"/>
  <c r="D2" i="3"/>
  <c r="C3" i="3"/>
  <c r="E3" i="3" a="1"/>
  <c r="B10" i="2" l="1"/>
  <c r="E3" i="3"/>
  <c r="D3" i="3" a="1"/>
  <c r="B11" i="2" l="1"/>
  <c r="D3" i="3"/>
  <c r="C4" i="3" s="1"/>
  <c r="E4" i="3" a="1"/>
  <c r="B12" i="2" l="1"/>
  <c r="E4" i="3"/>
  <c r="D4" i="3" a="1"/>
  <c r="B13" i="2" l="1"/>
  <c r="D4" i="3"/>
  <c r="C5" i="3" s="1"/>
  <c r="E4" i="2" a="1"/>
  <c r="D4" i="2" a="1"/>
  <c r="F4" i="2" a="1"/>
  <c r="G4" i="2" a="1"/>
  <c r="C4" i="2" a="1"/>
  <c r="H4" i="2" a="1"/>
  <c r="I4" i="2" a="1"/>
  <c r="K4" i="2" a="1"/>
  <c r="J4" i="2" a="1"/>
  <c r="E5" i="3" a="1"/>
  <c r="J4" i="2" l="1"/>
  <c r="K4" i="2"/>
  <c r="I4" i="2"/>
  <c r="H4" i="2"/>
  <c r="C4" i="2"/>
  <c r="G4" i="2"/>
  <c r="F4" i="2"/>
  <c r="D4" i="2"/>
  <c r="E4" i="2"/>
  <c r="E5" i="3"/>
  <c r="D5" i="3" a="1"/>
  <c r="D5" i="3" l="1"/>
  <c r="C6" i="3" s="1"/>
  <c r="E6" i="3" a="1"/>
  <c r="E6" i="3" l="1"/>
  <c r="D6" i="3" a="1"/>
  <c r="D6" i="3" l="1"/>
  <c r="C7" i="3" s="1"/>
  <c r="E7" i="3" s="1" a="1"/>
  <c r="E7" i="3" l="1"/>
  <c r="D7" i="3" s="1" a="1"/>
  <c r="D7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<sst xmlns="http://schemas.openxmlformats.org/spreadsheetml/2006/main" count="94" uniqueCount="70">
  <si>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</si>
  <si>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</si>
  <si>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</si>
  <si>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</si>
  <si>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</si>
  <si>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</si>
  <si>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</si>
  <si>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</si>
  <si>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</si>
  <si>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</si>
  <si>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</si>
  <si>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</si>
  <si>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</si>
  <si>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</si>
  <si>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</si>
  <si>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Current Value (%)</t>
  </si>
  <si>
    <t>New Value (%)</t>
  </si>
  <si>
    <t>Selected Port</t>
  </si>
  <si>
    <t>Mixed</t>
  </si>
  <si>
    <t>Scene Name --&gt;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</si>
  <si>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</si>
  <si>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</si>
  <si>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</si>
  <si>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</si>
  <si>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</si>
  <si>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</si>
  <si>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</si>
  <si>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</si>
  <si>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</si>
  <si>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</si>
  <si>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</si>
  <si>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</si>
  <si>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</si>
  <si>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</si>
  <si>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COMMANDS</t>
  </si>
  <si>
    <t>Input</t>
  </si>
  <si>
    <t>Output</t>
  </si>
  <si>
    <t>Lamp2</t>
  </si>
  <si>
    <t>Lamp3</t>
  </si>
  <si>
    <t>Select One Scene below</t>
  </si>
  <si>
    <t>Blue Only</t>
  </si>
  <si>
    <t>Green Only</t>
  </si>
  <si>
    <t>Empty</t>
  </si>
  <si>
    <t>Fluter</t>
  </si>
  <si>
    <t>CameoThunderWash600Rgbw7Ch2</t>
  </si>
  <si>
    <t>COM6</t>
  </si>
  <si>
    <t>CHASERS</t>
  </si>
  <si>
    <t>Step Duration in Milliseconds</t>
  </si>
  <si>
    <t>Steps</t>
  </si>
  <si>
    <t>RGB</t>
  </si>
  <si>
    <t>Kind</t>
  </si>
  <si>
    <t>Active</t>
  </si>
  <si>
    <t>Fixture Types</t>
  </si>
  <si>
    <t>Chaser Kinds</t>
  </si>
  <si>
    <t>Scenes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</si>
  <si>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</si>
  <si>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</si>
  <si>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</si>
  <si>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</si>
  <si>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</si>
  <si>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</si>
  <si>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</si>
  <si>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</si>
  <si>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</si>
  <si>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</si>
  <si>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</si>
  <si>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</si>
  <si>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BLue2</t>
  </si>
  <si>
    <t>BackAndForth</t>
  </si>
  <si>
    <t>Once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</si>
</sst>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0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9" fillId="0" borderId="0" xfId="0" applyFont="1"/>
    <xf numFmtId="49" fontId="10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11" fillId="0" borderId="0" xfId="0" applyFont="1"/>
    <xf numFmtId="0" fontId="1" fillId="0" borderId="0" xfId="0" applyFont="1" applyAlignment="1">
      <alignment horizontal="left"/>
    </xf>
    <xf numFmtId="0" fontId="2" fillId="2" borderId="2" xfId="1" applyBorder="1"/>
    <xf numFmtId="0" fontId="1" fillId="0" borderId="0" xfId="0" applyFont="1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8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bcf957a31f2d42c58bf56dee9013324f">
      <tp>
        <v>1183</v>
        <stp/>
        <stp>4e9b8bf6-05de-4d20-b25e-b8471a868119</stp>
        <tr r="I2" s="4"/>
        <tr r="I4" s="1"/>
      </tp>
    </main>
    <main first="rtdsrv_bcf957a31f2d42c58bf56dee9013324f">
      <tp>
        <v>7</v>
        <stp/>
        <stp>943e9ce6-db81-4893-b7ac-0c3ef7c7ebaf</stp>
        <tr r="A6" s="1"/>
      </tp>
      <tp>
        <v>17</v>
        <stp/>
        <stp>392f3b15-01f3-4e1a-bc59-ca4ae7a42a1f</stp>
        <tr r="A7" s="1"/>
      </tp>
      <tp>
        <v>7</v>
        <stp/>
        <stp>18304eac-f336-493a-8469-ed834e390e2e</stp>
        <tr r="I2" s="4"/>
        <tr r="I4" s="1"/>
      </tp>
    </main>
    <main first="rtdsrv_bcf957a31f2d42c58bf56dee9013324f">
      <tp>
        <v>1217</v>
        <stp/>
        <stp>bd08e22e-ae03-4d41-af6f-eb15a9f2af45</stp>
        <tr r="A8" s="1"/>
      </tp>
    </main>
    <main first="rtdsrv_bcf957a31f2d42c58bf56dee9013324f">
      <tp>
        <v>7</v>
        <stp/>
        <stp>be85460d-a5ff-4d3e-963e-0a354939598a</stp>
        <tr r="E2" s="4"/>
        <tr r="E4" s="1"/>
      </tp>
      <tp>
        <v>17</v>
        <stp/>
        <stp>dee995e4-3017-4dba-ac78-2e759f1bb166</stp>
        <tr r="A2" s="4"/>
        <tr r="C2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8</xdr:row>
          <xdr:rowOff>76200</xdr:rowOff>
        </xdr:from>
        <xdr:to>
          <xdr:col>0</xdr:col>
          <xdr:colOff>1038225</xdr:colOff>
          <xdr:row>9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</xdr:row>
          <xdr:rowOff>38100</xdr:rowOff>
        </xdr:from>
        <xdr:to>
          <xdr:col>14</xdr:col>
          <xdr:colOff>209550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Scene...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53"/>
  <sheetViews>
    <sheetView tabSelected="1" workbookViewId="0">
      <selection activeCell="J13" sqref="J13"/>
    </sheetView>
  </sheetViews>
  <sheetFormatPr defaultRowHeight="15" x14ac:dyDescent="0.25"/>
  <cols>
    <col min="1" max="1" width="21.7109375" customWidth="1"/>
    <col min="3" max="3" width="29.710937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7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C1" s="1" t="s">
        <v>34</v>
      </c>
      <c r="E1" s="1" t="s">
        <v>10</v>
      </c>
      <c r="I1" t="s">
        <v>23</v>
      </c>
      <c r="J1" s="2">
        <v>100</v>
      </c>
      <c r="K1" s="2" t="b">
        <v>1</v>
      </c>
    </row>
    <row r="2" spans="1:12" x14ac:dyDescent="0.25">
      <c r="G2" s="1"/>
    </row>
    <row r="3" spans="1:12" x14ac:dyDescent="0.25">
      <c r="A3" s="1" t="s">
        <v>17</v>
      </c>
      <c r="C3" s="1" t="s">
        <v>35</v>
      </c>
      <c r="E3" s="1" t="s">
        <v>27</v>
      </c>
      <c r="F3" s="1" t="s">
        <v>28</v>
      </c>
      <c r="G3" s="1" t="s">
        <v>26</v>
      </c>
      <c r="H3" s="1" t="s">
        <v>13</v>
      </c>
      <c r="I3" s="1" t="s">
        <v>15</v>
      </c>
      <c r="J3" s="1" t="s">
        <v>16</v>
      </c>
      <c r="K3" s="4" t="s">
        <v>14</v>
      </c>
      <c r="L3" s="1"/>
    </row>
    <row r="4" spans="1:12" x14ac:dyDescent="0.25">
      <c r="A4" s="2" t="s">
        <v>45</v>
      </c>
      <c r="C4" s="10"/>
      <c r="E4" t="str" cm="1">
        <f t="array" ref="E4:H25">_xll.AuLiComGetFixtureChannelInfos()</f>
        <v>LED Bar</v>
      </c>
      <c r="F4" t="str">
        <v>CameoLedBar12Ch</v>
      </c>
      <c r="G4" t="str">
        <v>Ignore1</v>
      </c>
      <c r="H4">
        <v>1</v>
      </c>
      <c r="I4" cm="1">
        <f t="array" aca="1" ref="I4:I25" ca="1">_xll.AuLiComGetChannelValues(OFFSET($H$4,0,0,_xll.AuLiComGetFixtureChannelCountTotal(),1))</f>
        <v>0</v>
      </c>
      <c r="K4"/>
    </row>
    <row r="5" spans="1:12" x14ac:dyDescent="0.25">
      <c r="A5" s="3" t="str" cm="1">
        <f t="array" ref="A5">_xll.AuLiComSetDmxConnection(SelectedPort)</f>
        <v>DMX:COM6</v>
      </c>
      <c r="E5" t="str">
        <v>LED Bar</v>
      </c>
      <c r="F5" t="str">
        <v>CameoLedBar12Ch</v>
      </c>
      <c r="G5" t="str">
        <v>Ignore2</v>
      </c>
      <c r="H5">
        <v>2</v>
      </c>
      <c r="I5">
        <f ca="1"/>
        <v>0</v>
      </c>
      <c r="K5"/>
    </row>
    <row r="6" spans="1:12" x14ac:dyDescent="0.25">
      <c r="A6" s="3" t="str" cm="1">
        <f t="array" ref="A6">"FIXTURES:"&amp;_xll.AuLiComGetFixturesVersion()</f>
        <v>FIXTURES:6</v>
      </c>
      <c r="C6" s="1" t="s">
        <v>36</v>
      </c>
      <c r="E6" t="str">
        <v>LED Bar</v>
      </c>
      <c r="F6" t="str">
        <v>CameoLedBar12Ch</v>
      </c>
      <c r="G6" t="str">
        <v>Ignore3</v>
      </c>
      <c r="H6">
        <v>3</v>
      </c>
      <c r="I6">
        <f ca="1"/>
        <v>0</v>
      </c>
      <c r="K6"/>
    </row>
    <row r="7" spans="1:12" x14ac:dyDescent="0.25">
      <c r="A7" s="3" t="str" cm="1">
        <f t="array" ref="A7">"SCENES:"&amp;_xll.AuLiComGetScenesVersion()</f>
        <v>SCENES:16</v>
      </c>
      <c r="C7" s="9" t="str" cm="1">
        <f t="array" ref="C7">IF(C4="","no command",_xll.AuLiComExecuteCommand(DmxVersion,C4))</f>
        <v>no command</v>
      </c>
      <c r="E7" t="str">
        <v>LED Bar</v>
      </c>
      <c r="F7" t="str">
        <v>CameoLedBar12Ch</v>
      </c>
      <c r="G7" t="str">
        <v>Red1</v>
      </c>
      <c r="H7">
        <v>4</v>
      </c>
      <c r="I7">
        <f ca="1"/>
        <v>0</v>
      </c>
      <c r="J7" s="2">
        <v>0</v>
      </c>
      <c r="K7" s="3" cm="1">
        <f t="array" ref="K7">IF(ChannelManualMode,_xll.AuLiComSetChannelValue(H7,J7*ChannelMaster%),"")</f>
        <v>4</v>
      </c>
    </row>
    <row r="8" spans="1:12" x14ac:dyDescent="0.25">
      <c r="A8" s="3" t="str" cm="1">
        <f t="array" ref="A8">"CHANNELS:"&amp;_xll.AuLiComGetChannelsVersion()</f>
        <v>CHANNELS:1219</v>
      </c>
      <c r="C8" s="9"/>
      <c r="E8" t="str">
        <v>LED Bar</v>
      </c>
      <c r="F8" t="str">
        <v>CameoLedBar12Ch</v>
      </c>
      <c r="G8" t="str">
        <v>Green1</v>
      </c>
      <c r="H8">
        <v>5</v>
      </c>
      <c r="I8">
        <f ca="1"/>
        <v>0</v>
      </c>
      <c r="J8" s="2">
        <v>0</v>
      </c>
      <c r="K8" s="3" cm="1">
        <f t="array" ref="K8">IF(ChannelManualMode,_xll.AuLiComSetChannelValue(H8,J8*ChannelMaster%),"")</f>
        <v>5</v>
      </c>
    </row>
    <row r="9" spans="1:12" x14ac:dyDescent="0.25">
      <c r="C9" s="9"/>
      <c r="E9" t="str">
        <v>LED Bar</v>
      </c>
      <c r="F9" t="str">
        <v>CameoLedBar12Ch</v>
      </c>
      <c r="G9" t="str">
        <v>Blue1</v>
      </c>
      <c r="H9">
        <v>6</v>
      </c>
      <c r="I9">
        <f ca="1"/>
        <v>0</v>
      </c>
      <c r="J9" s="2">
        <v>0</v>
      </c>
      <c r="K9" s="3" cm="1">
        <f t="array" ref="K9">IF(ChannelManualMode,_xll.AuLiComSetChannelValue(H9,J9*ChannelMaster%),"")</f>
        <v>6</v>
      </c>
    </row>
    <row r="10" spans="1:12" x14ac:dyDescent="0.25">
      <c r="C10" s="9"/>
      <c r="E10" t="str">
        <v>LED Bar</v>
      </c>
      <c r="F10" t="str">
        <v>CameoLedBar12Ch</v>
      </c>
      <c r="G10" t="str">
        <v>Red2</v>
      </c>
      <c r="H10">
        <v>7</v>
      </c>
      <c r="I10">
        <f ca="1"/>
        <v>0</v>
      </c>
      <c r="J10" s="2">
        <v>0</v>
      </c>
      <c r="K10" s="3" cm="1">
        <f t="array" ref="K10">IF(ChannelManualMode,_xll.AuLiComSetChannelValue(H10,J10*ChannelMaster%),"")</f>
        <v>7</v>
      </c>
    </row>
    <row r="11" spans="1:12" x14ac:dyDescent="0.25">
      <c r="C11" s="9"/>
      <c r="E11" t="str">
        <v>LED Bar</v>
      </c>
      <c r="F11" t="str">
        <v>CameoLedBar12Ch</v>
      </c>
      <c r="G11" t="str">
        <v>Green2</v>
      </c>
      <c r="H11">
        <v>8</v>
      </c>
      <c r="I11">
        <f ca="1"/>
        <v>0</v>
      </c>
      <c r="J11" s="2">
        <v>0</v>
      </c>
      <c r="K11" s="3" cm="1">
        <f t="array" ref="K11">IF(ChannelManualMode,_xll.AuLiComSetChannelValue(H11,J11*ChannelMaster%),"")</f>
        <v>8</v>
      </c>
    </row>
    <row r="12" spans="1:12" x14ac:dyDescent="0.25">
      <c r="A12" s="4" t="s">
        <v>0</v>
      </c>
      <c r="C12" s="9"/>
      <c r="E12" t="str">
        <v>LED Bar</v>
      </c>
      <c r="F12" t="str">
        <v>CameoLedBar12Ch</v>
      </c>
      <c r="G12" t="str">
        <v>Blue2</v>
      </c>
      <c r="H12">
        <v>9</v>
      </c>
      <c r="I12">
        <f ca="1"/>
        <v>0</v>
      </c>
      <c r="J12" s="2">
        <v>0</v>
      </c>
      <c r="K12" s="3" cm="1">
        <f t="array" ref="K12">IF(ChannelManualMode,_xll.AuLiComSetChannelValue(H12,J12*ChannelMaster%),"")</f>
        <v>9</v>
      </c>
    </row>
    <row r="13" spans="1:12" x14ac:dyDescent="0.25">
      <c r="A13" s="3" t="s">
        <v>42</v>
      </c>
      <c r="C13" s="9"/>
      <c r="E13" t="str">
        <v>LED Bar</v>
      </c>
      <c r="F13" t="str">
        <v>CameoLedBar12Ch</v>
      </c>
      <c r="G13" t="str">
        <v>Red3</v>
      </c>
      <c r="H13">
        <v>10</v>
      </c>
      <c r="I13">
        <f ca="1"/>
        <v>100</v>
      </c>
      <c r="J13" s="2">
        <v>0</v>
      </c>
      <c r="K13" s="3" cm="1">
        <f t="array" ref="K13">IF(ChannelManualMode,_xll.AuLiComSetChannelValue(H13,J13*ChannelMaster%),"")</f>
        <v>10</v>
      </c>
    </row>
    <row r="14" spans="1:12" x14ac:dyDescent="0.25">
      <c r="A14" s="3" t="e" cm="1">
        <f t="array" ref="A14">_xll.AuLiComGetDmxPorts(TRUE)</f>
        <v>#VALUE!</v>
      </c>
      <c r="C14" s="9"/>
      <c r="E14" t="str">
        <v>LED Bar</v>
      </c>
      <c r="F14" t="str">
        <v>CameoLedBar12Ch</v>
      </c>
      <c r="G14" t="str">
        <v>Green3</v>
      </c>
      <c r="H14">
        <v>11</v>
      </c>
      <c r="I14">
        <f ca="1"/>
        <v>0</v>
      </c>
      <c r="J14" s="2">
        <v>0</v>
      </c>
      <c r="K14" s="3" cm="1">
        <f t="array" ref="K14">IF(ChannelManualMode,_xll.AuLiComSetChannelValue(H14,J14*ChannelMaster%),"")</f>
        <v>11</v>
      </c>
    </row>
    <row r="15" spans="1:12" x14ac:dyDescent="0.25">
      <c r="C15" s="9"/>
      <c r="E15" t="str">
        <v>LED Bar</v>
      </c>
      <c r="F15" t="str">
        <v>CameoLedBar12Ch</v>
      </c>
      <c r="G15" t="str">
        <v>Blue3</v>
      </c>
      <c r="H15">
        <v>12</v>
      </c>
      <c r="I15">
        <f ca="1"/>
        <v>0</v>
      </c>
      <c r="J15" s="2">
        <v>0</v>
      </c>
      <c r="K15" s="3" cm="1">
        <f t="array" ref="K15">IF(ChannelManualMode,_xll.AuLiComSetChannelValue(H15,J15*ChannelMaster%),"")</f>
        <v>12</v>
      </c>
    </row>
    <row r="16" spans="1:12" x14ac:dyDescent="0.25">
      <c r="A16" s="3"/>
      <c r="C16" s="9"/>
      <c r="E16" t="str">
        <v>Lamp1</v>
      </c>
      <c r="F16" t="str">
        <v>GenericLamp</v>
      </c>
      <c r="G16" t="str">
        <v>Intensity</v>
      </c>
      <c r="H16">
        <v>13</v>
      </c>
      <c r="I16">
        <f ca="1"/>
        <v>0</v>
      </c>
      <c r="J16" s="2">
        <v>0</v>
      </c>
      <c r="K16" s="3" cm="1">
        <f t="array" ref="K16">IF(ChannelManualMode,_xll.AuLiComSetChannelValue(H16,J16*ChannelMaster%),"")</f>
        <v>13</v>
      </c>
    </row>
    <row r="17" spans="1:11" x14ac:dyDescent="0.25">
      <c r="A17" s="4"/>
      <c r="C17" s="9"/>
      <c r="E17" t="str">
        <v>Lamp2</v>
      </c>
      <c r="F17" t="str">
        <v>GenericLamp</v>
      </c>
      <c r="G17" t="str">
        <v>Intensity</v>
      </c>
      <c r="H17">
        <v>14</v>
      </c>
      <c r="I17">
        <f ca="1"/>
        <v>0</v>
      </c>
      <c r="J17" s="2">
        <v>0</v>
      </c>
      <c r="K17" s="3" cm="1">
        <f t="array" ref="K17">IF(ChannelManualMode,_xll.AuLiComSetChannelValue(H17,J17*ChannelMaster%),"")</f>
        <v>14</v>
      </c>
    </row>
    <row r="18" spans="1:11" x14ac:dyDescent="0.25">
      <c r="C18" s="9"/>
      <c r="E18" t="str">
        <v>Lamp3</v>
      </c>
      <c r="F18" t="str">
        <v>GenericLamp</v>
      </c>
      <c r="G18" t="str">
        <v>Intensity</v>
      </c>
      <c r="H18">
        <v>15</v>
      </c>
      <c r="I18">
        <f ca="1"/>
        <v>0</v>
      </c>
      <c r="J18" s="2">
        <v>0</v>
      </c>
      <c r="K18" s="3" cm="1">
        <f t="array" ref="K18">IF(ChannelManualMode,_xll.AuLiComSetChannelValue(H18,J18*ChannelMaster%),"")</f>
        <v>15</v>
      </c>
    </row>
    <row r="19" spans="1:11" x14ac:dyDescent="0.25">
      <c r="C19" s="9"/>
      <c r="E19" t="str">
        <v>Fluter</v>
      </c>
      <c r="F19" t="str">
        <v>CameoThunderWash600Rgbw7Ch2</v>
      </c>
      <c r="G19" t="str">
        <v>Intensity</v>
      </c>
      <c r="H19">
        <v>16</v>
      </c>
      <c r="I19">
        <f ca="1"/>
        <v>0</v>
      </c>
    </row>
    <row r="20" spans="1:11" x14ac:dyDescent="0.25">
      <c r="C20" s="9"/>
      <c r="E20" t="str">
        <v>Fluter</v>
      </c>
      <c r="F20" t="str">
        <v>CameoThunderWash600Rgbw7Ch2</v>
      </c>
      <c r="G20" t="str">
        <v>StrobeSpeed</v>
      </c>
      <c r="H20">
        <v>17</v>
      </c>
      <c r="I20">
        <f ca="1"/>
        <v>0</v>
      </c>
    </row>
    <row r="21" spans="1:11" x14ac:dyDescent="0.25">
      <c r="C21" s="9"/>
      <c r="E21" t="str">
        <v>Fluter</v>
      </c>
      <c r="F21" t="str">
        <v>CameoThunderWash600Rgbw7Ch2</v>
      </c>
      <c r="G21" t="str">
        <v>FlashDuration</v>
      </c>
      <c r="H21">
        <v>18</v>
      </c>
      <c r="I21">
        <f ca="1"/>
        <v>0</v>
      </c>
    </row>
    <row r="22" spans="1:11" x14ac:dyDescent="0.25">
      <c r="C22" s="9"/>
      <c r="E22" t="str">
        <v>Fluter</v>
      </c>
      <c r="F22" t="str">
        <v>CameoThunderWash600Rgbw7Ch2</v>
      </c>
      <c r="G22" t="str">
        <v>Red</v>
      </c>
      <c r="H22">
        <v>19</v>
      </c>
      <c r="I22">
        <f ca="1"/>
        <v>0</v>
      </c>
    </row>
    <row r="23" spans="1:11" x14ac:dyDescent="0.25">
      <c r="C23" s="9"/>
      <c r="E23" t="str">
        <v>Fluter</v>
      </c>
      <c r="F23" t="str">
        <v>CameoThunderWash600Rgbw7Ch2</v>
      </c>
      <c r="G23" t="str">
        <v>Green</v>
      </c>
      <c r="H23">
        <v>20</v>
      </c>
      <c r="I23">
        <f ca="1"/>
        <v>0</v>
      </c>
    </row>
    <row r="24" spans="1:11" x14ac:dyDescent="0.25">
      <c r="C24" s="9"/>
      <c r="E24" t="str">
        <v>Fluter</v>
      </c>
      <c r="F24" t="str">
        <v>CameoThunderWash600Rgbw7Ch2</v>
      </c>
      <c r="G24" t="str">
        <v>Blue</v>
      </c>
      <c r="H24">
        <v>21</v>
      </c>
      <c r="I24">
        <f ca="1"/>
        <v>0</v>
      </c>
    </row>
    <row r="25" spans="1:11" x14ac:dyDescent="0.25">
      <c r="C25" s="9"/>
      <c r="E25" t="str">
        <v>Fluter</v>
      </c>
      <c r="F25" t="str">
        <v>CameoThunderWash600Rgbw7Ch2</v>
      </c>
      <c r="G25" t="str">
        <v>White</v>
      </c>
      <c r="H25">
        <v>22</v>
      </c>
      <c r="I25">
        <f ca="1"/>
        <v>0</v>
      </c>
    </row>
    <row r="26" spans="1:11" x14ac:dyDescent="0.25">
      <c r="C26" s="9"/>
    </row>
    <row r="27" spans="1:11" x14ac:dyDescent="0.25">
      <c r="C27" s="9"/>
    </row>
    <row r="28" spans="1:11" x14ac:dyDescent="0.25">
      <c r="C28" s="9"/>
    </row>
    <row r="29" spans="1:11" x14ac:dyDescent="0.25">
      <c r="C29" s="9"/>
    </row>
    <row r="30" spans="1:11" x14ac:dyDescent="0.25">
      <c r="C30" s="9"/>
    </row>
    <row r="31" spans="1:11" x14ac:dyDescent="0.25">
      <c r="C31" s="9"/>
    </row>
    <row r="32" spans="1:11" x14ac:dyDescent="0.25">
      <c r="C32" s="9"/>
    </row>
    <row r="33" spans="3:3" x14ac:dyDescent="0.25">
      <c r="C33" s="9"/>
    </row>
    <row r="34" spans="3:3" x14ac:dyDescent="0.25">
      <c r="C34" s="9"/>
    </row>
    <row r="35" spans="3:3" x14ac:dyDescent="0.25">
      <c r="C35" s="9"/>
    </row>
    <row r="36" spans="3:3" x14ac:dyDescent="0.25">
      <c r="C36" s="9"/>
    </row>
    <row r="37" spans="3:3" x14ac:dyDescent="0.25">
      <c r="C37" s="9"/>
    </row>
    <row r="38" spans="3:3" x14ac:dyDescent="0.25">
      <c r="C38" s="9"/>
    </row>
    <row r="39" spans="3:3" x14ac:dyDescent="0.25">
      <c r="C39" s="9"/>
    </row>
    <row r="40" spans="3:3" x14ac:dyDescent="0.25">
      <c r="C40" s="9"/>
    </row>
    <row r="41" spans="3:3" x14ac:dyDescent="0.25">
      <c r="C41" s="9"/>
    </row>
    <row r="42" spans="3:3" x14ac:dyDescent="0.25">
      <c r="C42" s="9"/>
    </row>
    <row r="43" spans="3:3" x14ac:dyDescent="0.25">
      <c r="C43" s="9"/>
    </row>
    <row r="44" spans="3:3" x14ac:dyDescent="0.25">
      <c r="C44" s="9"/>
    </row>
    <row r="45" spans="3:3" x14ac:dyDescent="0.25">
      <c r="C45" s="9"/>
    </row>
    <row r="46" spans="3:3" x14ac:dyDescent="0.25">
      <c r="C46" s="9"/>
    </row>
    <row r="47" spans="3:3" x14ac:dyDescent="0.25">
      <c r="C47" s="9"/>
    </row>
    <row r="48" spans="3:3" x14ac:dyDescent="0.25">
      <c r="C48" s="9"/>
    </row>
    <row r="49" spans="3:3" x14ac:dyDescent="0.25">
      <c r="C49" s="9"/>
    </row>
    <row r="50" spans="3:3" x14ac:dyDescent="0.25">
      <c r="C50" s="9"/>
    </row>
    <row r="51" spans="3:3" x14ac:dyDescent="0.25">
      <c r="C51" s="9"/>
    </row>
    <row r="52" spans="3:3" x14ac:dyDescent="0.25">
      <c r="C52" s="9"/>
    </row>
    <row r="53" spans="3:3" x14ac:dyDescent="0.25">
      <c r="C53" s="9"/>
    </row>
  </sheetData>
  <conditionalFormatting sqref="G1:G1048576">
    <cfRule type="containsText" dxfId="7" priority="1" operator="containsText" text="Intensity">
      <formula>NOT(ISERROR(SEARCH("Intensity",G1)))</formula>
    </cfRule>
    <cfRule type="containsText" dxfId="6" priority="2" operator="containsText" text="Blue">
      <formula>NOT(ISERROR(SEARCH("Blue",G1)))</formula>
    </cfRule>
    <cfRule type="containsText" dxfId="5" priority="3" operator="containsText" text="Green">
      <formula>NOT(ISERROR(SEARCH("Green",G1)))</formula>
    </cfRule>
    <cfRule type="containsText" dxfId="4" priority="4" operator="containsText" text="Red">
      <formula>NOT(ISERROR(SEARCH("Red",G1)))</formula>
    </cfRule>
  </conditionalFormatting>
  <dataValidations count="2">
    <dataValidation type="whole" allowBlank="1" showInputMessage="1" showErrorMessage="1" sqref="J4:J18" xr:uid="{852C5ADF-B2F9-434A-B063-004409CD4BDA}">
      <formula1>0</formula1>
      <formula2>100</formula2>
    </dataValidation>
    <dataValidation type="list" allowBlank="1" showInputMessage="1" showErrorMessage="1" sqref="A4" xr:uid="{396DDEB2-D078-4AE7-B445-E6305F57D0E3}">
      <formula1>$A$13:$A$16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8</xdr:row>
                    <xdr:rowOff>76200</xdr:rowOff>
                  </from>
                  <to>
                    <xdr:col>0</xdr:col>
                    <xdr:colOff>1038225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SceneFromCurrentUniverse">
                <anchor moveWithCells="1">
                  <from>
                    <xdr:col>11</xdr:col>
                    <xdr:colOff>447675</xdr:colOff>
                    <xdr:row>1</xdr:row>
                    <xdr:rowOff>38100</xdr:rowOff>
                  </from>
                  <to>
                    <xdr:col>14</xdr:col>
                    <xdr:colOff>209550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Q13"/>
  <sheetViews>
    <sheetView workbookViewId="0">
      <selection activeCell="K12" sqref="K12"/>
    </sheetView>
  </sheetViews>
  <sheetFormatPr defaultRowHeight="15" x14ac:dyDescent="0.25"/>
  <cols>
    <col min="1" max="1" width="12.85546875" bestFit="1" customWidth="1"/>
    <col min="3" max="3" width="6.5703125" bestFit="1" customWidth="1"/>
    <col min="4" max="4" width="9" bestFit="1" customWidth="1"/>
    <col min="5" max="5" width="5.5703125" bestFit="1" customWidth="1"/>
    <col min="6" max="6" width="4" bestFit="1" customWidth="1"/>
    <col min="7" max="7" width="9.5703125" bestFit="1" customWidth="1"/>
    <col min="8" max="8" width="11" bestFit="1" customWidth="1"/>
  </cols>
  <sheetData>
    <row r="1" spans="1:17" x14ac:dyDescent="0.25">
      <c r="A1" s="16" t="s">
        <v>19</v>
      </c>
      <c r="B1" s="16"/>
      <c r="C1" s="2" t="s">
        <v>18</v>
      </c>
      <c r="D1" s="2" t="s">
        <v>21</v>
      </c>
      <c r="E1" s="2" t="s">
        <v>20</v>
      </c>
      <c r="F1" s="2" t="s">
        <v>22</v>
      </c>
      <c r="G1" s="2" t="s">
        <v>40</v>
      </c>
      <c r="H1" s="2" t="s">
        <v>41</v>
      </c>
      <c r="I1" s="15" t="s">
        <v>57</v>
      </c>
      <c r="J1" s="15" t="s">
        <v>59</v>
      </c>
      <c r="K1" s="15" t="s">
        <v>58</v>
      </c>
      <c r="L1" s="15" t="s">
        <v>60</v>
      </c>
      <c r="M1" s="15" t="s">
        <v>61</v>
      </c>
      <c r="N1" s="15" t="s">
        <v>62</v>
      </c>
      <c r="O1" s="15" t="s">
        <v>63</v>
      </c>
      <c r="P1" s="15" t="s">
        <v>64</v>
      </c>
      <c r="Q1" s="15" t="s">
        <v>65</v>
      </c>
    </row>
    <row r="2" spans="1:17" x14ac:dyDescent="0.25">
      <c r="A2" s="8"/>
      <c r="B2" s="8"/>
    </row>
    <row r="3" spans="1:17" x14ac:dyDescent="0.25">
      <c r="A3" s="8"/>
      <c r="B3" s="8"/>
    </row>
    <row r="4" spans="1:17" x14ac:dyDescent="0.25">
      <c r="A4" s="1" t="s">
        <v>12</v>
      </c>
      <c r="B4" s="1" t="s">
        <v>13</v>
      </c>
      <c r="C4" s="3" t="str" cm="1">
        <f t="array" ref="C4">_xll.AuLiComSetScene(C1,$B$5:$B$13,C5:C13)</f>
        <v>Mixed</v>
      </c>
      <c r="D4" s="3" t="str" cm="1">
        <f t="array" ref="D4">_xll.AuLiComSetScene(D1,$B$5:$B$13,D5:D13)</f>
        <v>Red Only</v>
      </c>
      <c r="E4" s="3" t="str" cm="1">
        <f t="array" ref="E4">_xll.AuLiComSetScene(E1,$B$5:$B$13,E5:E13)</f>
        <v>Black</v>
      </c>
      <c r="F4" s="3" t="str" cm="1">
        <f t="array" ref="F4">_xll.AuLiComSetScene(F1,$B$5:$B$13,F5:F13)</f>
        <v>All</v>
      </c>
      <c r="G4" s="3" t="str" cm="1">
        <f t="array" ref="G4">_xll.AuLiComSetScene(G1,$B$5:$B$13,G5:G13)</f>
        <v>Blue Only</v>
      </c>
      <c r="H4" s="3" t="str" cm="1">
        <f t="array" ref="H4">_xll.AuLiComSetScene(H1,$B$5:$B$13,H5:H13)</f>
        <v>Green Only</v>
      </c>
      <c r="I4" s="3" t="str" cm="1">
        <f t="array" ref="I4">_xll.AuLiComSetScene(I1,$B$5:$B$13,I5:I13)</f>
        <v>Red1</v>
      </c>
      <c r="J4" s="3" t="str" cm="1">
        <f t="array" ref="J4">_xll.AuLiComSetScene(J1,$B$5:$B$13,J5:J13)</f>
        <v>Red2</v>
      </c>
      <c r="K4" s="3" t="str" cm="1">
        <f t="array" ref="K4">_xll.AuLiComSetScene(K1,$B$5:$B$13,K5:K13)</f>
        <v>Red3</v>
      </c>
      <c r="L4" s="3" t="str" cm="1">
        <f t="array" ref="L4">_xll.AuLiComSetScene(L1,$B$5:$B$13,L5:L13)</f>
        <v>Blue1</v>
      </c>
      <c r="M4" s="3" t="str" cm="1">
        <f t="array" ref="M4">_xll.AuLiComSetScene(M1,$B$5:$B$13,M5:M13)</f>
        <v>Blue2</v>
      </c>
      <c r="N4" s="3" t="str" cm="1">
        <f t="array" ref="N4">_xll.AuLiComSetScene(N1,$B$5:$B$13,N5:N13)</f>
        <v>Blue3</v>
      </c>
      <c r="O4" s="3" t="str" cm="1">
        <f t="array" ref="O4">_xll.AuLiComSetScene(O1,$B$5:$B$13,O5:O13)</f>
        <v>Green1</v>
      </c>
      <c r="P4" s="3" t="str" cm="1">
        <f t="array" ref="P4">_xll.AuLiComSetScene(P1,$B$5:$B$13,P5:P13)</f>
        <v>Green2</v>
      </c>
      <c r="Q4" s="3" t="str" cm="1">
        <f t="array" ref="Q4">_xll.AuLiComSetScene(Q1,$B$5:$B$13,Q5:Q13)</f>
        <v>Green3</v>
      </c>
    </row>
    <row r="5" spans="1:17" x14ac:dyDescent="0.25">
      <c r="A5" s="5" t="s">
        <v>1</v>
      </c>
      <c r="B5">
        <v>4</v>
      </c>
      <c r="C5" s="2">
        <v>100</v>
      </c>
      <c r="D5" s="2">
        <v>100</v>
      </c>
      <c r="E5" s="2">
        <v>0</v>
      </c>
      <c r="F5" s="2">
        <v>100</v>
      </c>
      <c r="G5" s="2">
        <v>0</v>
      </c>
      <c r="H5" s="2">
        <v>0</v>
      </c>
      <c r="I5" s="2">
        <v>100</v>
      </c>
      <c r="J5" s="2"/>
      <c r="K5" s="2"/>
      <c r="L5" s="2"/>
      <c r="M5" s="2"/>
      <c r="N5" s="2"/>
      <c r="O5" s="2"/>
      <c r="P5" s="2"/>
      <c r="Q5" s="2"/>
    </row>
    <row r="6" spans="1:17" x14ac:dyDescent="0.25">
      <c r="A6" s="6" t="s">
        <v>2</v>
      </c>
      <c r="B6">
        <f>B5+1</f>
        <v>5</v>
      </c>
      <c r="C6" s="2">
        <v>0</v>
      </c>
      <c r="D6" s="2">
        <v>0</v>
      </c>
      <c r="E6" s="2">
        <v>0</v>
      </c>
      <c r="F6" s="2">
        <v>100</v>
      </c>
      <c r="G6" s="2">
        <v>0</v>
      </c>
      <c r="H6" s="2">
        <v>100</v>
      </c>
      <c r="I6" s="2"/>
      <c r="J6" s="2"/>
      <c r="K6" s="2"/>
      <c r="L6" s="2"/>
      <c r="M6" s="2"/>
      <c r="N6" s="2"/>
      <c r="O6" s="2">
        <v>100</v>
      </c>
      <c r="P6" s="2"/>
      <c r="Q6" s="2"/>
    </row>
    <row r="7" spans="1:17" x14ac:dyDescent="0.25">
      <c r="A7" s="7" t="s">
        <v>3</v>
      </c>
      <c r="B7">
        <f t="shared" ref="B7:B13" si="0">B6+1</f>
        <v>6</v>
      </c>
      <c r="C7" s="2">
        <v>0</v>
      </c>
      <c r="D7" s="2">
        <v>0</v>
      </c>
      <c r="E7" s="2">
        <v>0</v>
      </c>
      <c r="F7" s="2">
        <v>100</v>
      </c>
      <c r="G7" s="2">
        <v>100</v>
      </c>
      <c r="H7" s="2">
        <v>0</v>
      </c>
      <c r="I7" s="2"/>
      <c r="J7" s="2"/>
      <c r="K7" s="2"/>
      <c r="L7" s="2">
        <v>100</v>
      </c>
      <c r="M7" s="2"/>
      <c r="N7" s="2"/>
      <c r="O7" s="2"/>
      <c r="P7" s="2"/>
      <c r="Q7" s="2"/>
    </row>
    <row r="8" spans="1:17" x14ac:dyDescent="0.25">
      <c r="A8" s="5" t="s">
        <v>4</v>
      </c>
      <c r="B8">
        <f t="shared" si="0"/>
        <v>7</v>
      </c>
      <c r="C8" s="2">
        <v>0</v>
      </c>
      <c r="D8" s="2">
        <v>100</v>
      </c>
      <c r="E8" s="2">
        <v>0</v>
      </c>
      <c r="F8" s="2">
        <v>100</v>
      </c>
      <c r="G8" s="2">
        <v>0</v>
      </c>
      <c r="H8" s="2">
        <v>0</v>
      </c>
      <c r="I8" s="2"/>
      <c r="J8" s="2">
        <v>100</v>
      </c>
      <c r="K8" s="2"/>
      <c r="L8" s="2"/>
      <c r="M8" s="2"/>
      <c r="N8" s="2"/>
      <c r="O8" s="2"/>
      <c r="P8" s="2"/>
      <c r="Q8" s="2"/>
    </row>
    <row r="9" spans="1:17" x14ac:dyDescent="0.25">
      <c r="A9" s="6" t="s">
        <v>5</v>
      </c>
      <c r="B9">
        <f t="shared" si="0"/>
        <v>8</v>
      </c>
      <c r="C9" s="2">
        <v>100</v>
      </c>
      <c r="D9" s="2">
        <v>0</v>
      </c>
      <c r="E9" s="2">
        <v>0</v>
      </c>
      <c r="F9" s="2">
        <v>100</v>
      </c>
      <c r="G9" s="2">
        <v>0</v>
      </c>
      <c r="H9" s="2">
        <v>100</v>
      </c>
      <c r="I9" s="2"/>
      <c r="J9" s="2"/>
      <c r="K9" s="2"/>
      <c r="L9" s="2"/>
      <c r="M9" s="2"/>
      <c r="N9" s="2"/>
      <c r="O9" s="2"/>
      <c r="P9" s="2">
        <v>100</v>
      </c>
      <c r="Q9" s="2"/>
    </row>
    <row r="10" spans="1:17" x14ac:dyDescent="0.25">
      <c r="A10" s="7" t="s">
        <v>6</v>
      </c>
      <c r="B10">
        <f t="shared" si="0"/>
        <v>9</v>
      </c>
      <c r="C10" s="2">
        <v>0</v>
      </c>
      <c r="D10" s="2">
        <v>0</v>
      </c>
      <c r="E10" s="2">
        <v>0</v>
      </c>
      <c r="F10" s="2">
        <v>100</v>
      </c>
      <c r="G10" s="2">
        <v>100</v>
      </c>
      <c r="H10" s="2">
        <v>0</v>
      </c>
      <c r="I10" s="2"/>
      <c r="J10" s="2"/>
      <c r="K10" s="2"/>
      <c r="L10" s="2"/>
      <c r="M10" s="2">
        <v>100</v>
      </c>
      <c r="N10" s="2"/>
      <c r="O10" s="2"/>
      <c r="P10" s="2"/>
      <c r="Q10" s="2"/>
    </row>
    <row r="11" spans="1:17" x14ac:dyDescent="0.25">
      <c r="A11" s="5" t="s">
        <v>7</v>
      </c>
      <c r="B11">
        <f t="shared" si="0"/>
        <v>10</v>
      </c>
      <c r="C11" s="2">
        <v>0</v>
      </c>
      <c r="D11" s="2">
        <v>100</v>
      </c>
      <c r="E11" s="2">
        <v>0</v>
      </c>
      <c r="F11" s="2">
        <v>100</v>
      </c>
      <c r="G11" s="2">
        <v>0</v>
      </c>
      <c r="H11" s="2">
        <v>0</v>
      </c>
      <c r="I11" s="2"/>
      <c r="J11" s="2"/>
      <c r="K11" s="2">
        <v>100</v>
      </c>
      <c r="L11" s="2"/>
      <c r="M11" s="2"/>
      <c r="N11" s="2"/>
      <c r="O11" s="2"/>
      <c r="P11" s="2"/>
      <c r="Q11" s="2"/>
    </row>
    <row r="12" spans="1:17" x14ac:dyDescent="0.25">
      <c r="A12" s="6" t="s">
        <v>8</v>
      </c>
      <c r="B12">
        <f t="shared" si="0"/>
        <v>11</v>
      </c>
      <c r="C12" s="2">
        <v>0</v>
      </c>
      <c r="D12" s="2">
        <v>0</v>
      </c>
      <c r="E12" s="2">
        <v>0</v>
      </c>
      <c r="F12" s="2">
        <v>100</v>
      </c>
      <c r="G12" s="2">
        <v>0</v>
      </c>
      <c r="H12" s="2">
        <v>100</v>
      </c>
      <c r="I12" s="2"/>
      <c r="J12" s="2"/>
      <c r="K12" s="2"/>
      <c r="L12" s="2"/>
      <c r="M12" s="2"/>
      <c r="N12" s="2"/>
      <c r="O12" s="2"/>
      <c r="P12" s="2"/>
      <c r="Q12" s="2">
        <v>100</v>
      </c>
    </row>
    <row r="13" spans="1:17" x14ac:dyDescent="0.25">
      <c r="A13" s="7" t="s">
        <v>9</v>
      </c>
      <c r="B13">
        <f t="shared" si="0"/>
        <v>12</v>
      </c>
      <c r="C13" s="2">
        <v>100</v>
      </c>
      <c r="D13" s="2">
        <v>0</v>
      </c>
      <c r="E13" s="2">
        <v>0</v>
      </c>
      <c r="F13" s="2">
        <v>100</v>
      </c>
      <c r="G13" s="2">
        <v>100</v>
      </c>
      <c r="H13" s="2">
        <v>0</v>
      </c>
      <c r="I13" s="2"/>
      <c r="J13" s="2"/>
      <c r="K13" s="2"/>
      <c r="L13" s="2"/>
      <c r="M13" s="2"/>
      <c r="N13" s="2">
        <v>100</v>
      </c>
      <c r="O13" s="2"/>
      <c r="P13" s="2"/>
      <c r="Q13" s="2"/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I23"/>
  <sheetViews>
    <sheetView workbookViewId="0">
      <selection activeCell="B14" sqref="B14"/>
    </sheetView>
  </sheetViews>
  <sheetFormatPr defaultRowHeight="15" x14ac:dyDescent="0.25"/>
  <cols>
    <col min="1" max="1" width="25.5703125" style="12" customWidth="1"/>
    <col min="2" max="2" width="10.140625" style="12" bestFit="1" customWidth="1"/>
    <col min="3" max="3" width="9.140625" style="13"/>
    <col min="4" max="4" width="37.2851562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6.85546875" bestFit="1" customWidth="1"/>
  </cols>
  <sheetData>
    <row r="1" spans="1:9" x14ac:dyDescent="0.25">
      <c r="A1" s="11" t="s">
        <v>39</v>
      </c>
      <c r="B1" s="11"/>
      <c r="E1" s="1" t="s">
        <v>27</v>
      </c>
      <c r="F1" s="1" t="s">
        <v>28</v>
      </c>
      <c r="G1" s="1" t="s">
        <v>26</v>
      </c>
      <c r="H1" s="1" t="s">
        <v>13</v>
      </c>
      <c r="I1" s="1" t="s">
        <v>15</v>
      </c>
    </row>
    <row r="2" spans="1:9" x14ac:dyDescent="0.25">
      <c r="A2" s="12" t="str" cm="1">
        <f t="array" ref="A2:A16">_xll.AuLiComGetScenes()</f>
        <v>Black</v>
      </c>
      <c r="B2" s="12">
        <v>0</v>
      </c>
      <c r="E2" t="str" cm="1">
        <f t="array" ref="E2:H23">_xll.AuLiComGetFixtureChannelInfos()</f>
        <v>LED Bar</v>
      </c>
      <c r="F2" t="str">
        <v>CameoLedBar12Ch</v>
      </c>
      <c r="G2" t="str">
        <v>Ignore1</v>
      </c>
      <c r="H2">
        <v>1</v>
      </c>
      <c r="I2" cm="1">
        <f t="array" aca="1" ref="I2:I23" ca="1">_xll.AuLiComGetChannelValues(OFFSET($H$2,0,0,_xll.AuLiComGetFixtureChannelCountTotal(),1))</f>
        <v>0</v>
      </c>
    </row>
    <row r="3" spans="1:9" x14ac:dyDescent="0.25">
      <c r="A3" s="12" t="str">
        <v>Red Only</v>
      </c>
      <c r="B3" s="12">
        <v>1</v>
      </c>
      <c r="E3" t="str">
        <v>LED Bar</v>
      </c>
      <c r="F3" t="str">
        <v>CameoLedBar12Ch</v>
      </c>
      <c r="G3" t="str">
        <v>Ignore2</v>
      </c>
      <c r="H3">
        <v>2</v>
      </c>
      <c r="I3">
        <f ca="1"/>
        <v>0</v>
      </c>
    </row>
    <row r="4" spans="1:9" x14ac:dyDescent="0.25">
      <c r="A4" s="12" t="str">
        <v>All</v>
      </c>
      <c r="B4" s="12">
        <v>2</v>
      </c>
      <c r="E4" t="str">
        <v>LED Bar</v>
      </c>
      <c r="F4" t="str">
        <v>CameoLedBar12Ch</v>
      </c>
      <c r="G4" t="str">
        <v>Ignore3</v>
      </c>
      <c r="H4">
        <v>3</v>
      </c>
      <c r="I4">
        <f ca="1"/>
        <v>0</v>
      </c>
    </row>
    <row r="5" spans="1:9" x14ac:dyDescent="0.25">
      <c r="A5" s="12" t="str">
        <v>Blue Only</v>
      </c>
      <c r="B5" s="12">
        <v>1</v>
      </c>
      <c r="E5" t="str">
        <v>LED Bar</v>
      </c>
      <c r="F5" t="str">
        <v>CameoLedBar12Ch</v>
      </c>
      <c r="G5" t="str">
        <v>Red1</v>
      </c>
      <c r="H5">
        <v>4</v>
      </c>
      <c r="I5">
        <f ca="1"/>
        <v>0</v>
      </c>
    </row>
    <row r="6" spans="1:9" x14ac:dyDescent="0.25">
      <c r="A6" s="12" t="str">
        <v>Mixed</v>
      </c>
      <c r="B6" s="12">
        <v>0.5</v>
      </c>
      <c r="E6" t="str">
        <v>LED Bar</v>
      </c>
      <c r="F6" t="str">
        <v>CameoLedBar12Ch</v>
      </c>
      <c r="G6" t="str">
        <v>Green1</v>
      </c>
      <c r="H6">
        <v>5</v>
      </c>
      <c r="I6">
        <f ca="1"/>
        <v>0</v>
      </c>
    </row>
    <row r="7" spans="1:9" x14ac:dyDescent="0.25">
      <c r="A7" s="12" t="str">
        <v>Green Only</v>
      </c>
      <c r="B7" s="12">
        <v>5</v>
      </c>
      <c r="E7" t="str">
        <v>LED Bar</v>
      </c>
      <c r="F7" t="str">
        <v>CameoLedBar12Ch</v>
      </c>
      <c r="G7" t="str">
        <v>Blue1</v>
      </c>
      <c r="H7">
        <v>6</v>
      </c>
      <c r="I7">
        <f ca="1"/>
        <v>0</v>
      </c>
    </row>
    <row r="8" spans="1:9" x14ac:dyDescent="0.25">
      <c r="A8" s="12" t="str">
        <v>Red1</v>
      </c>
      <c r="B8" s="12">
        <v>1</v>
      </c>
      <c r="E8" t="str">
        <v>LED Bar</v>
      </c>
      <c r="F8" t="str">
        <v>CameoLedBar12Ch</v>
      </c>
      <c r="G8" t="str">
        <v>Red2</v>
      </c>
      <c r="H8">
        <v>7</v>
      </c>
      <c r="I8">
        <f ca="1"/>
        <v>0</v>
      </c>
    </row>
    <row r="9" spans="1:9" x14ac:dyDescent="0.25">
      <c r="A9" s="12" t="str">
        <v>Red3</v>
      </c>
      <c r="B9" s="12">
        <v>1</v>
      </c>
      <c r="E9" t="str">
        <v>LED Bar</v>
      </c>
      <c r="F9" t="str">
        <v>CameoLedBar12Ch</v>
      </c>
      <c r="G9" t="str">
        <v>Green2</v>
      </c>
      <c r="H9">
        <v>8</v>
      </c>
      <c r="I9">
        <f ca="1"/>
        <v>0</v>
      </c>
    </row>
    <row r="10" spans="1:9" x14ac:dyDescent="0.25">
      <c r="A10" s="12" t="str">
        <v>Red2</v>
      </c>
      <c r="B10" s="12">
        <v>1</v>
      </c>
      <c r="E10" t="str">
        <v>LED Bar</v>
      </c>
      <c r="F10" t="str">
        <v>CameoLedBar12Ch</v>
      </c>
      <c r="G10" t="str">
        <v>Blue2</v>
      </c>
      <c r="H10">
        <v>9</v>
      </c>
      <c r="I10">
        <f ca="1"/>
        <v>0</v>
      </c>
    </row>
    <row r="11" spans="1:9" x14ac:dyDescent="0.25">
      <c r="A11" s="12" t="str">
        <v>Blue1</v>
      </c>
      <c r="B11" s="12">
        <v>1</v>
      </c>
      <c r="E11" t="str">
        <v>LED Bar</v>
      </c>
      <c r="F11" t="str">
        <v>CameoLedBar12Ch</v>
      </c>
      <c r="G11" t="str">
        <v>Red3</v>
      </c>
      <c r="H11">
        <v>10</v>
      </c>
      <c r="I11">
        <f ca="1"/>
        <v>100</v>
      </c>
    </row>
    <row r="12" spans="1:9" x14ac:dyDescent="0.25">
      <c r="A12" s="12" t="str">
        <v>Blue3</v>
      </c>
      <c r="B12" s="12">
        <v>1</v>
      </c>
      <c r="E12" t="str">
        <v>LED Bar</v>
      </c>
      <c r="F12" t="str">
        <v>CameoLedBar12Ch</v>
      </c>
      <c r="G12" t="str">
        <v>Green3</v>
      </c>
      <c r="H12">
        <v>11</v>
      </c>
      <c r="I12">
        <f ca="1"/>
        <v>0</v>
      </c>
    </row>
    <row r="13" spans="1:9" x14ac:dyDescent="0.25">
      <c r="A13" s="12" t="str">
        <v>Green2</v>
      </c>
      <c r="B13" s="12">
        <v>1</v>
      </c>
      <c r="E13" t="str">
        <v>LED Bar</v>
      </c>
      <c r="F13" t="str">
        <v>CameoLedBar12Ch</v>
      </c>
      <c r="G13" t="str">
        <v>Blue3</v>
      </c>
      <c r="H13">
        <v>12</v>
      </c>
      <c r="I13">
        <f ca="1"/>
        <v>0</v>
      </c>
    </row>
    <row r="14" spans="1:9" x14ac:dyDescent="0.25">
      <c r="A14" s="12" t="str">
        <v>Blue2</v>
      </c>
      <c r="B14" s="12">
        <v>1</v>
      </c>
      <c r="C14" s="13" t="s">
        <v>51</v>
      </c>
      <c r="E14" t="str">
        <v>Lamp1</v>
      </c>
      <c r="F14" t="str">
        <v>GenericLamp</v>
      </c>
      <c r="G14" t="str">
        <v>Intensity</v>
      </c>
      <c r="H14">
        <v>13</v>
      </c>
      <c r="I14">
        <f ca="1"/>
        <v>0</v>
      </c>
    </row>
    <row r="15" spans="1:9" x14ac:dyDescent="0.25">
      <c r="A15" s="12" t="str">
        <v>Green1</v>
      </c>
      <c r="B15" s="12">
        <v>1</v>
      </c>
      <c r="E15" t="str">
        <v>Lamp2</v>
      </c>
      <c r="F15" t="str">
        <v>GenericLamp</v>
      </c>
      <c r="G15" t="str">
        <v>Intensity</v>
      </c>
      <c r="H15">
        <v>14</v>
      </c>
      <c r="I15">
        <f ca="1"/>
        <v>0</v>
      </c>
    </row>
    <row r="16" spans="1:9" x14ac:dyDescent="0.25">
      <c r="A16" s="12" t="str">
        <v>Green3</v>
      </c>
      <c r="B16" s="12">
        <v>1</v>
      </c>
      <c r="E16" t="str">
        <v>Lamp3</v>
      </c>
      <c r="F16" t="str">
        <v>GenericLamp</v>
      </c>
      <c r="G16" t="str">
        <v>Intensity</v>
      </c>
      <c r="H16">
        <v>15</v>
      </c>
      <c r="I16">
        <f ca="1"/>
        <v>0</v>
      </c>
    </row>
    <row r="17" spans="5:9" x14ac:dyDescent="0.25">
      <c r="E17" t="str">
        <v>Fluter</v>
      </c>
      <c r="F17" t="str">
        <v>CameoThunderWash600Rgbw7Ch2</v>
      </c>
      <c r="G17" t="str">
        <v>Intensity</v>
      </c>
      <c r="H17">
        <v>16</v>
      </c>
      <c r="I17">
        <f ca="1"/>
        <v>0</v>
      </c>
    </row>
    <row r="18" spans="5:9" x14ac:dyDescent="0.25">
      <c r="E18" t="str">
        <v>Fluter</v>
      </c>
      <c r="F18" t="str">
        <v>CameoThunderWash600Rgbw7Ch2</v>
      </c>
      <c r="G18" t="str">
        <v>StrobeSpeed</v>
      </c>
      <c r="H18">
        <v>17</v>
      </c>
      <c r="I18">
        <f ca="1"/>
        <v>0</v>
      </c>
    </row>
    <row r="19" spans="5:9" x14ac:dyDescent="0.25">
      <c r="E19" t="str">
        <v>Fluter</v>
      </c>
      <c r="F19" t="str">
        <v>CameoThunderWash600Rgbw7Ch2</v>
      </c>
      <c r="G19" t="str">
        <v>FlashDuration</v>
      </c>
      <c r="H19">
        <v>18</v>
      </c>
      <c r="I19">
        <f ca="1"/>
        <v>0</v>
      </c>
    </row>
    <row r="20" spans="5:9" x14ac:dyDescent="0.25">
      <c r="E20" t="str">
        <v>Fluter</v>
      </c>
      <c r="F20" t="str">
        <v>CameoThunderWash600Rgbw7Ch2</v>
      </c>
      <c r="G20" t="str">
        <v>Red</v>
      </c>
      <c r="H20">
        <v>19</v>
      </c>
      <c r="I20">
        <f ca="1"/>
        <v>0</v>
      </c>
    </row>
    <row r="21" spans="5:9" x14ac:dyDescent="0.25">
      <c r="E21" t="str">
        <v>Fluter</v>
      </c>
      <c r="F21" t="str">
        <v>CameoThunderWash600Rgbw7Ch2</v>
      </c>
      <c r="G21" t="str">
        <v>Green</v>
      </c>
      <c r="H21">
        <v>20</v>
      </c>
      <c r="I21">
        <f ca="1"/>
        <v>0</v>
      </c>
    </row>
    <row r="22" spans="5:9" x14ac:dyDescent="0.25">
      <c r="E22" t="str">
        <v>Fluter</v>
      </c>
      <c r="F22" t="str">
        <v>CameoThunderWash600Rgbw7Ch2</v>
      </c>
      <c r="G22" t="str">
        <v>Blue</v>
      </c>
      <c r="H22">
        <v>21</v>
      </c>
      <c r="I22">
        <f ca="1"/>
        <v>0</v>
      </c>
    </row>
    <row r="23" spans="5:9" x14ac:dyDescent="0.25">
      <c r="E23" t="str">
        <v>Fluter</v>
      </c>
      <c r="F23" t="str">
        <v>CameoThunderWash600Rgbw7Ch2</v>
      </c>
      <c r="G23" t="str">
        <v>White</v>
      </c>
      <c r="H23">
        <v>22</v>
      </c>
      <c r="I23">
        <f ca="1"/>
        <v>0</v>
      </c>
    </row>
  </sheetData>
  <sheetProtection sheet="1" objects="1" scenarios="1" selectLockedCells="1"/>
  <conditionalFormatting sqref="G1:G17">
    <cfRule type="containsText" dxfId="3" priority="1" operator="containsText" text="Intensity">
      <formula>NOT(ISERROR(SEARCH("Intensity",G1)))</formula>
    </cfRule>
    <cfRule type="containsText" dxfId="2" priority="2" operator="containsText" text="Blue">
      <formula>NOT(ISERROR(SEARCH("Blue",G1)))</formula>
    </cfRule>
    <cfRule type="containsText" dxfId="1" priority="3" operator="containsText" text="Green">
      <formula>NOT(ISERROR(SEARCH("Green",G1)))</formula>
    </cfRule>
    <cfRule type="containsText" dxfId="0" priority="4" operator="containsText" text="Red">
      <formula>NOT(ISERROR(SEARCH("Red",G1)))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1"/>
  <sheetViews>
    <sheetView workbookViewId="0"/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46</v>
      </c>
    </row>
    <row r="3" spans="1:28" x14ac:dyDescent="0.25">
      <c r="A3" s="1" t="s">
        <v>12</v>
      </c>
      <c r="B3" s="1" t="s">
        <v>50</v>
      </c>
      <c r="C3" s="1" t="s">
        <v>47</v>
      </c>
      <c r="D3" s="1" t="s">
        <v>48</v>
      </c>
    </row>
    <row r="4" spans="1:28" x14ac:dyDescent="0.25">
      <c r="A4" s="2" t="s">
        <v>49</v>
      </c>
      <c r="B4" s="2" t="s">
        <v>69</v>
      </c>
      <c r="C4" s="2">
        <v>1000</v>
      </c>
      <c r="D4" s="2" t="s">
        <v>21</v>
      </c>
      <c r="E4" s="2" t="s">
        <v>41</v>
      </c>
      <c r="F4" s="2" t="s">
        <v>40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B4" s="3" t="str" cm="1">
        <f t="array" ref="AB4">IF(OR(A4="",B4="",C4="",D4=""),"",_xll.AuLiComSetChaser(A4,B4,C4,D4:Z4))</f>
        <v>RGB</v>
      </c>
    </row>
    <row r="5" spans="1:28" x14ac:dyDescent="0.25">
      <c r="A5" s="2" t="s">
        <v>56</v>
      </c>
      <c r="B5" s="2" t="s">
        <v>68</v>
      </c>
      <c r="C5" s="2">
        <v>50</v>
      </c>
      <c r="D5" s="2" t="s">
        <v>57</v>
      </c>
      <c r="E5" s="2" t="s">
        <v>59</v>
      </c>
      <c r="F5" s="2" t="s">
        <v>58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B5" s="3" t="str" cm="1">
        <f t="array" ref="AB5">IF(OR(A5="",B5="",C5="",D5=""),"",_xll.AuLiComSetChaser(A5,B5,C5,D5:Z5))</f>
        <v>Reds</v>
      </c>
    </row>
    <row r="6" spans="1:28" x14ac:dyDescent="0.25">
      <c r="A6" s="2" t="s">
        <v>66</v>
      </c>
      <c r="B6" s="2" t="s">
        <v>55</v>
      </c>
      <c r="C6" s="2">
        <v>150</v>
      </c>
      <c r="D6" s="2" t="s">
        <v>57</v>
      </c>
      <c r="E6" s="2" t="s">
        <v>59</v>
      </c>
      <c r="F6" s="2" t="s">
        <v>58</v>
      </c>
      <c r="G6" s="2" t="s">
        <v>60</v>
      </c>
      <c r="H6" s="2" t="s">
        <v>67</v>
      </c>
      <c r="I6" s="2" t="s">
        <v>62</v>
      </c>
      <c r="J6" s="2" t="s">
        <v>63</v>
      </c>
      <c r="K6" s="2" t="s">
        <v>64</v>
      </c>
      <c r="L6" s="2" t="s">
        <v>65</v>
      </c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B6" s="3" t="str" cm="1">
        <f t="array" ref="AB6">IF(OR(A6="",B6="",C6="",D6=""),"",_xll.AuLiComSetChaser(A6,B6,C6,D6:Z6))</f>
        <v>All Colors</v>
      </c>
    </row>
    <row r="7" spans="1:2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B7" s="3" t="str" cm="1">
        <f t="array" ref="AB7">IF(OR(A7="",B7="",C7="",D7=""),"",_xll.AuLiComSetChaser(A7,B7,C7,D7:Z7))</f>
        <v/>
      </c>
    </row>
    <row r="8" spans="1:2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B8" s="3" t="str" cm="1">
        <f t="array" ref="AB8">IF(OR(A8="",B8="",C8="",D8=""),"",_xll.AuLiComSetChaser(A8,B8,C8,D8:Z8))</f>
        <v/>
      </c>
    </row>
    <row r="9" spans="1:2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B9" s="3" t="str" cm="1">
        <f t="array" ref="AB9">IF(OR(A9="",B9="",C9="",D9=""),"",_xll.AuLiComSetChaser(A9,B9,C9,D9:Z9))</f>
        <v/>
      </c>
    </row>
    <row r="10" spans="1:2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B10" s="3" t="str" cm="1">
        <f t="array" ref="AB10">IF(OR(A10="",B10="",C10="",D10=""),"",_xll.AuLiComSetChaser(A10,B10,C10,D10:Z10))</f>
        <v/>
      </c>
    </row>
    <row r="11" spans="1:2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B11" s="3" t="str" cm="1">
        <f t="array" ref="AB11">IF(OR(A11="",B11="",C11="",D11=""),"",_xll.AuLiComSetChaser(A11,B11,C11,D11:Z11))</f>
        <v/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B12" s="3" t="str" cm="1">
        <f t="array" ref="AB12">IF(OR(A12="",B12="",C12="",D12=""),"",_xll.AuLiComSetChaser(A12,B12,C12,D12:Z12))</f>
        <v/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B13" s="3" t="str" cm="1">
        <f t="array" ref="AB13">IF(OR(A13="",B13="",C13="",D13=""),"",_xll.AuLiComSetChaser(A13,B13,C13,D13:Z13))</f>
        <v/>
      </c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B14" s="3" t="str" cm="1">
        <f t="array" ref="AB14">IF(OR(A14="",B14="",C14="",D14=""),"",_xll.AuLiComSetChaser(A14,B14,C14,D14:Z14))</f>
        <v/>
      </c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3" t="str" cm="1">
        <f t="array" ref="AB15">IF(OR(A15="",B15="",C15="",D15=""),"",_xll.AuLiComSetChaser(A15,B15,C15,D15:Z15))</f>
        <v/>
      </c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B16" s="3" t="str" cm="1">
        <f t="array" ref="AB16">IF(OR(A16="",B16="",C16="",D16=""),"",_xll.AuLiComSetChaser(A16,B16,C16,D16:Z16))</f>
        <v/>
      </c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B17" s="3" t="str" cm="1">
        <f t="array" ref="AB17">IF(OR(A17="",B17="",C17="",D17=""),"",_xll.AuLiComSetChaser(A17,B17,C17,D17:Z17))</f>
        <v/>
      </c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B18" s="3" t="str" cm="1">
        <f t="array" ref="AB18">IF(OR(A18="",B18="",C18="",D18=""),"",_xll.AuLiComSetChaser(A18,B18,C18,D18:Z18))</f>
        <v/>
      </c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B19" s="3" t="str" cm="1">
        <f t="array" ref="AB19">IF(OR(A19="",B19="",C19="",D19=""),"",_xll.AuLiComSetChaser(A19,B19,C19,D19:Z19))</f>
        <v/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B20" s="3" t="str" cm="1">
        <f t="array" ref="AB20">IF(OR(A20="",B20="",C20="",D20=""),"",_xll.AuLiComSetChaser(A20,B20,C20,D20:Z20))</f>
        <v/>
      </c>
    </row>
    <row r="21" spans="1:2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B21" s="3" t="str" cm="1">
        <f t="array" ref="AB21">IF(OR(A21="",B21="",C21="",D21=""),"",_xll.AuLiComSetChaser(A21,B21,C21,D21:Z21))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I7"/>
  <sheetViews>
    <sheetView workbookViewId="0">
      <selection activeCell="E6" sqref="E6"/>
    </sheetView>
  </sheetViews>
  <sheetFormatPr defaultRowHeight="15" x14ac:dyDescent="0.25"/>
  <cols>
    <col min="1" max="1" width="7.42578125" bestFit="1" customWidth="1"/>
    <col min="2" max="2" width="32.28515625" bestFit="1" customWidth="1"/>
    <col min="3" max="3" width="12.85546875" bestFit="1" customWidth="1"/>
    <col min="4" max="4" width="14.85546875" customWidth="1"/>
    <col min="5" max="5" width="13.5703125" bestFit="1" customWidth="1"/>
    <col min="9" max="9" width="8.140625" bestFit="1" customWidth="1"/>
    <col min="10" max="10" width="17.7109375" bestFit="1" customWidth="1"/>
    <col min="11" max="11" width="7.7109375" bestFit="1" customWidth="1"/>
    <col min="12" max="12" width="3" bestFit="1" customWidth="1"/>
  </cols>
  <sheetData>
    <row r="1" spans="1:9" x14ac:dyDescent="0.25">
      <c r="A1" s="1" t="s">
        <v>12</v>
      </c>
      <c r="B1" s="1" t="s">
        <v>31</v>
      </c>
      <c r="C1" s="1" t="s">
        <v>32</v>
      </c>
      <c r="D1" s="1" t="s">
        <v>33</v>
      </c>
      <c r="E1" s="1"/>
      <c r="I1" s="1"/>
    </row>
    <row r="2" spans="1:9" x14ac:dyDescent="0.25">
      <c r="A2" s="2" t="s">
        <v>24</v>
      </c>
      <c r="B2" s="2" t="s">
        <v>25</v>
      </c>
      <c r="C2">
        <v>1</v>
      </c>
      <c r="D2" cm="1">
        <f t="array" ref="D2">IF(E2&lt;&gt;"",_xll.AuLiComGetFixtureChannelCount(A2),"")</f>
        <v>12</v>
      </c>
      <c r="E2" s="3" t="str" cm="1">
        <f t="array" ref="E2">IF(AND(A2&lt;&gt;"",B2&lt;&gt;"",C2&lt;&gt;""),_xll.AuLiComSetFixture(DmxVersion,A2,B2,C2),"")</f>
        <v>Already exists</v>
      </c>
    </row>
    <row r="3" spans="1:9" x14ac:dyDescent="0.25">
      <c r="A3" s="2" t="s">
        <v>29</v>
      </c>
      <c r="B3" s="2" t="s">
        <v>30</v>
      </c>
      <c r="C3">
        <f>IF(AND(A3&lt;&gt;"",B3&lt;&gt;""),C2+D2,"")</f>
        <v>13</v>
      </c>
      <c r="D3" cm="1">
        <f t="array" ref="D3">IF(E3&lt;&gt;"",_xll.AuLiComGetFixtureChannelCount(A3),"")</f>
        <v>1</v>
      </c>
      <c r="E3" s="3" t="str" cm="1">
        <f t="array" ref="E3">IF(AND(A3&lt;&gt;"",B3&lt;&gt;"",C3&lt;&gt;""),_xll.AuLiComSetFixture(DmxVersion,A3,B3,C3),"")</f>
        <v>Already exists</v>
      </c>
    </row>
    <row r="4" spans="1:9" x14ac:dyDescent="0.25">
      <c r="A4" s="2" t="s">
        <v>37</v>
      </c>
      <c r="B4" s="2" t="s">
        <v>30</v>
      </c>
      <c r="C4">
        <f t="shared" ref="C4:C7" si="0">IF(AND(A4&lt;&gt;"",B4&lt;&gt;""),C3+D3,"")</f>
        <v>14</v>
      </c>
      <c r="D4" cm="1">
        <f t="array" ref="D4">IF(E4&lt;&gt;"",_xll.AuLiComGetFixtureChannelCount(A4),"")</f>
        <v>1</v>
      </c>
      <c r="E4" s="3" t="str" cm="1">
        <f t="array" ref="E4">IF(AND(A4&lt;&gt;"",B4&lt;&gt;"",C4&lt;&gt;""),_xll.AuLiComSetFixture(DmxVersion,A4,B4,C4),"")</f>
        <v>Already exists</v>
      </c>
    </row>
    <row r="5" spans="1:9" x14ac:dyDescent="0.25">
      <c r="A5" s="2" t="s">
        <v>38</v>
      </c>
      <c r="B5" s="2" t="s">
        <v>30</v>
      </c>
      <c r="C5">
        <f t="shared" si="0"/>
        <v>15</v>
      </c>
      <c r="D5" cm="1">
        <f t="array" ref="D5">IF(E5&lt;&gt;"",_xll.AuLiComGetFixtureChannelCount(A5),"")</f>
        <v>1</v>
      </c>
      <c r="E5" s="3" t="str" cm="1">
        <f t="array" ref="E5">IF(AND(A5&lt;&gt;"",B5&lt;&gt;"",C5&lt;&gt;""),_xll.AuLiComSetFixture(DmxVersion,A5,B5,C5),"")</f>
        <v>Already exists</v>
      </c>
    </row>
    <row r="6" spans="1:9" x14ac:dyDescent="0.25">
      <c r="A6" s="2" t="s">
        <v>43</v>
      </c>
      <c r="B6" s="2" t="s">
        <v>44</v>
      </c>
      <c r="C6">
        <f t="shared" si="0"/>
        <v>16</v>
      </c>
      <c r="D6" cm="1">
        <f t="array" ref="D6">IF(E6&lt;&gt;"",_xll.AuLiComGetFixtureChannelCount(A6),"")</f>
        <v>7</v>
      </c>
      <c r="E6" s="3" t="str" cm="1">
        <f t="array" ref="E6">IF(AND(A6&lt;&gt;"",B6&lt;&gt;"",C6&lt;&gt;""),_xll.AuLiComSetFixture(DmxVersion,A6,B6,C6),"")</f>
        <v>Already exists</v>
      </c>
    </row>
    <row r="7" spans="1:9" x14ac:dyDescent="0.25">
      <c r="A7" s="2"/>
      <c r="B7" s="2"/>
      <c r="C7" t="str">
        <f t="shared" si="0"/>
        <v/>
      </c>
      <c r="D7" t="str" cm="1">
        <f t="array" ref="D7">IF(E7&lt;&gt;"",_xll.AuLiComGetFixtureChannelCount(A7),"")</f>
        <v/>
      </c>
      <c r="E7" s="3" t="str" cm="1">
        <f t="array" ref="E7">IF(AND(A7&lt;&gt;"",B7&lt;&gt;"",C7&lt;&gt;""),_xll.AuLiComSetFixture(DmxVersion,A7,B7,C7),"")</f>
        <v/>
      </c>
    </row>
  </sheetData>
  <dataValidations count="1">
    <dataValidation type="list" allowBlank="1" showInputMessage="1" showErrorMessage="1" sqref="B5:B1048576 B2:B3" xr:uid="{6E4A273C-60A9-48C1-B63E-766C2AADA7F0}">
      <formula1>FixtureTypes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EEF7-E907-4ED1-9D6A-FC3151B843B4}">
  <sheetPr codeName="Sheet7"/>
  <dimension ref="A1:C16"/>
  <sheetViews>
    <sheetView workbookViewId="0">
      <selection activeCell="C2" sqref="C2"/>
    </sheetView>
  </sheetViews>
  <sheetFormatPr defaultRowHeight="15" x14ac:dyDescent="0.25"/>
  <cols>
    <col min="1" max="1" width="13.42578125" bestFit="1" customWidth="1"/>
    <col min="2" max="2" width="32.28515625" bestFit="1" customWidth="1"/>
    <col min="3" max="3" width="11" bestFit="1" customWidth="1"/>
  </cols>
  <sheetData>
    <row r="1" spans="1:3" x14ac:dyDescent="0.25">
      <c r="A1" s="14" t="s">
        <v>53</v>
      </c>
      <c r="B1" s="1" t="s">
        <v>52</v>
      </c>
      <c r="C1" s="1" t="s">
        <v>54</v>
      </c>
    </row>
    <row r="2" spans="1:3" x14ac:dyDescent="0.25">
      <c r="A2" t="str" cm="1">
        <f t="array" ref="A2:A5">_xll.AuLiComGetChaserKinds()</f>
        <v>Once</v>
      </c>
      <c r="B2" t="str" cm="1">
        <f t="array" ref="B2:B7">_xll.AuLiComGetFixtureTypes()</f>
        <v>GenericLamp</v>
      </c>
      <c r="C2" t="str" cm="1">
        <f t="array" ref="C2:C16">_xll.AuLiComGetScenes()</f>
        <v>Black</v>
      </c>
    </row>
    <row r="3" spans="1:3" x14ac:dyDescent="0.25">
      <c r="A3" t="str">
        <v>Loop</v>
      </c>
      <c r="B3" t="str">
        <v>CameoLedBar3Ch2</v>
      </c>
      <c r="C3" t="str">
        <v>Red Only</v>
      </c>
    </row>
    <row r="4" spans="1:3" x14ac:dyDescent="0.25">
      <c r="A4" t="str">
        <v>BackAndForth</v>
      </c>
      <c r="B4" t="str">
        <v>CameoLedBar12Ch</v>
      </c>
      <c r="C4" t="str">
        <v>All</v>
      </c>
    </row>
    <row r="5" spans="1:3" x14ac:dyDescent="0.25">
      <c r="A5" t="str">
        <v>Random</v>
      </c>
      <c r="B5" t="str">
        <v>CameoPixBar650CPro3Ch1</v>
      </c>
      <c r="C5" t="str">
        <v>Blue Only</v>
      </c>
    </row>
    <row r="6" spans="1:3" x14ac:dyDescent="0.25">
      <c r="B6" t="str">
        <v>CameoPixBar650CPro3Ch2</v>
      </c>
      <c r="C6" t="str">
        <v>Mixed</v>
      </c>
    </row>
    <row r="7" spans="1:3" x14ac:dyDescent="0.25">
      <c r="B7" t="str">
        <v>CameoThunderWash600Rgbw7Ch2</v>
      </c>
      <c r="C7" t="str">
        <v>Green Only</v>
      </c>
    </row>
    <row r="8" spans="1:3" x14ac:dyDescent="0.25">
      <c r="C8" t="str">
        <v>Red1</v>
      </c>
    </row>
    <row r="9" spans="1:3" x14ac:dyDescent="0.25">
      <c r="C9" t="str">
        <v>Red3</v>
      </c>
    </row>
    <row r="10" spans="1:3" x14ac:dyDescent="0.25">
      <c r="C10" t="str">
        <v>Red2</v>
      </c>
    </row>
    <row r="11" spans="1:3" x14ac:dyDescent="0.25">
      <c r="C11" t="str">
        <v>Blue1</v>
      </c>
    </row>
    <row r="12" spans="1:3" x14ac:dyDescent="0.25">
      <c r="C12" t="str">
        <v>Blue3</v>
      </c>
    </row>
    <row r="13" spans="1:3" x14ac:dyDescent="0.25">
      <c r="C13" t="str">
        <v>Green2</v>
      </c>
    </row>
    <row r="14" spans="1:3" x14ac:dyDescent="0.25">
      <c r="C14" t="str">
        <v>Blue2</v>
      </c>
    </row>
    <row r="15" spans="1:3" x14ac:dyDescent="0.25">
      <c r="C15" t="str">
        <v>Green1</v>
      </c>
    </row>
    <row r="16" spans="1:3" x14ac:dyDescent="0.25">
      <c r="C16" t="str">
        <v>Green3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Overview</vt:lpstr>
      <vt:lpstr>Scene Definition</vt:lpstr>
      <vt:lpstr>Scene Player</vt:lpstr>
      <vt:lpstr>Chasers</vt:lpstr>
      <vt:lpstr>Fixtures</vt:lpstr>
      <vt:lpstr>Parameters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2023-08-12T10:39:18Z</dcterms:modified>
</cp:coreProperties>
</file>