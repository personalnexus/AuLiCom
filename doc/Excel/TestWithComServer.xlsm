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779" documentId="8_{33E53E1F-A3F6-4075-900F-54641BCFD3E8}" xr6:coauthVersionLast="47" xr6:coauthVersionMax="47" xr10:uidLastSave="{F2A1BBAA-A51C-4009-BD03-DD38194E8A15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ChannelsVersion">Overview!$A$12</definedName>
    <definedName name="DmxVersion">Overview!$A$9</definedName>
    <definedName name="FixturesVersion">Overview!$A$10</definedName>
    <definedName name="FixtureTypes">OFFSET(Fixtures!$A$1,1,0,COUNTA(Fixtures!$A:$A)-1)</definedName>
    <definedName name="ScenesVersion">Overview!$A$11</definedName>
    <definedName name="SelectedPort">Overview!$A$8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G7" i="3" s="1" a="1"/>
  <c r="G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A25" i="1" a="1"/>
  <c r="A9" i="1" a="1"/>
  <c r="A9" i="1" l="1"/>
  <c r="F7" i="3" a="1"/>
  <c r="F7" i="3" s="1"/>
  <c r="A25" i="1"/>
  <c r="C7" i="1" a="1"/>
  <c r="G2" i="3" a="1"/>
  <c r="D5" i="2" a="1"/>
  <c r="F5" i="2" a="1"/>
  <c r="B20" i="2" a="1"/>
  <c r="C5" i="2" a="1"/>
  <c r="E5" i="2" a="1"/>
  <c r="A5" i="1" a="1"/>
  <c r="A2" i="3" a="1"/>
  <c r="A11" i="1" a="1"/>
  <c r="A12" i="1" a="1"/>
  <c r="A10" i="1" a="1"/>
  <c r="A5" i="1" l="1"/>
  <c r="A12" i="1"/>
  <c r="A10" i="1"/>
  <c r="A11" i="1"/>
  <c r="F5" i="2"/>
  <c r="G2" i="3"/>
  <c r="E5" i="2"/>
  <c r="D5" i="2"/>
  <c r="C5" i="2"/>
  <c r="A2" i="3"/>
  <c r="B20" i="2"/>
  <c r="C7" i="1"/>
  <c r="F2" i="3" a="1"/>
  <c r="A24" i="2" a="1"/>
  <c r="E4" i="1" a="1"/>
  <c r="K13" i="1" a="1"/>
  <c r="K15" i="1" a="1"/>
  <c r="K14" i="1" a="1"/>
  <c r="K9" i="1" a="1"/>
  <c r="K8" i="1" a="1"/>
  <c r="K10" i="1" a="1"/>
  <c r="K11" i="1" a="1"/>
  <c r="K12" i="1" a="1"/>
  <c r="K7" i="1" a="1"/>
  <c r="K16" i="1" a="1"/>
  <c r="K18" i="1" a="1"/>
  <c r="K17" i="1" a="1"/>
  <c r="I4" i="1" a="1"/>
  <c r="K17" i="1" l="1"/>
  <c r="K18" i="1"/>
  <c r="K16" i="1"/>
  <c r="I4" i="1"/>
  <c r="K10" i="1"/>
  <c r="K11" i="1"/>
  <c r="K15" i="1"/>
  <c r="K8" i="1"/>
  <c r="K7" i="1"/>
  <c r="K12" i="1"/>
  <c r="K13" i="1"/>
  <c r="K14" i="1"/>
  <c r="K9" i="1"/>
  <c r="E4" i="1"/>
  <c r="A24" i="2"/>
  <c r="F2" i="3"/>
  <c r="E3" i="3" s="1"/>
  <c r="G3" i="3" a="1"/>
  <c r="G3" i="3" l="1"/>
  <c r="F3" i="3" a="1"/>
  <c r="F3" i="3" l="1"/>
  <c r="E4" i="3" s="1"/>
  <c r="G4" i="3" a="1"/>
  <c r="G4" i="3" l="1"/>
  <c r="F4" i="3" a="1"/>
  <c r="F4" i="3" l="1"/>
  <c r="E5" i="3" s="1"/>
  <c r="G5" i="3" a="1"/>
  <c r="G5" i="3" l="1"/>
  <c r="F5" i="3" a="1"/>
  <c r="F5" i="3" l="1"/>
  <c r="E6" i="3" s="1"/>
  <c r="G6" i="3" s="1" a="1"/>
  <c r="G6" i="3" l="1"/>
  <c r="F6" i="3" s="1" a="1"/>
  <c r="F6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<sst xmlns="http://schemas.openxmlformats.org/spreadsheetml/2006/main" count="53" uniqueCount="48">
  <si>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</si>
  <si>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</si>
  <si>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</si>
  <si>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</si>
  <si>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</si>
  <si>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</si>
  <si>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</si>
  <si>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</si>
  <si>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</si>
  <si>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</si>
  <si>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</si>
  <si>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</si>
  <si>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</si>
  <si>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</si>
  <si>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</si>
  <si>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</si>
  <si>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</si>
  <si>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</si>
  <si>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</si>
  <si>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</si>
  <si>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</si>
  <si>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</si>
  <si>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</si>
  <si>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</si>
  <si>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</si>
  <si>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</si>
  <si>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</si>
  <si>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</si>
  <si>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</si>
  <si>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</si>
  <si>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</si>
  <si>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</si>
  <si>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</si>
  <si>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</si>
  <si>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</si>
  <si>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</si>
  <si>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</si>
  <si>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</si>
  <si>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</si>
  <si>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</si>
  <si>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</si>
  <si>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</si>
  <si>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</si>
  <si>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</si>
  <si>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</si>
  <si>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Lamp2</t>
  </si>
  <si>
    <t>Lamp3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</si>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</sst>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3">
    <cellStyle name="Hyperlink" xfId="2" builtinId="8"/>
    <cellStyle name="Input" xfId="1" builtinId="20"/>
    <cellStyle name="Normal" xfId="0" builtinId="0"/>
  </cellStyles>
  <dxfs count="4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c0621fe97b434c8682a362b566513efe">
      <tp>
        <v>5</v>
        <stp/>
        <stp>50b6adc7-e673-4b73-b906-b45102426d0c</stp>
        <tr r="A11" s="1"/>
      </tp>
    </main>
    <main first="rtdsrv_c0621fe97b434c8682a362b566513efe">
      <tp>
        <v>249</v>
        <stp/>
        <stp>0769614d-6d69-44a4-b5a7-3e3d09e9b7c4</stp>
        <tr r="A12" s="1"/>
      </tp>
    </main>
    <main first="rtdsrv_c0621fe97b434c8682a362b566513efe">
      <tp>
        <v>5</v>
        <stp/>
        <stp>33831ad8-9a7b-409d-be22-d592e629d8cb</stp>
        <tr r="A10" s="1"/>
      </tp>
      <tp>
        <v>195</v>
        <stp/>
        <stp>d334b929-ba69-4184-b493-48d2cb78e836</stp>
        <tr r="I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volatileDependencies" Target="volatileDependenci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12</xdr:row>
          <xdr:rowOff>76200</xdr:rowOff>
        </xdr:from>
        <xdr:to>
          <xdr:col>0</xdr:col>
          <xdr:colOff>1038225</xdr:colOff>
          <xdr:row>13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I18" sqref="I18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42</v>
      </c>
      <c r="E1" s="1" t="s">
        <v>10</v>
      </c>
      <c r="I1" t="s">
        <v>30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15</v>
      </c>
      <c r="C3" s="1" t="s">
        <v>43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C4" s="10"/>
      <c r="E4" t="str" cm="1">
        <f t="array" ref="E4:H18">_xll.AuLiComGetFixtureChannelInfos(FixturesVersion)</f>
        <v>LED Bar</v>
      </c>
      <c r="F4" t="str">
        <v>CameoLedBar12Ch</v>
      </c>
      <c r="G4" t="str">
        <v>Ignore1</v>
      </c>
      <c r="H4">
        <v>1</v>
      </c>
      <c r="I4" cm="1">
        <f t="array" aca="1" ref="I4:I18" ca="1">_xll.AuLiComGetChannelValues(OFFSET($H$4,0,0,_xll.AuLiComGetFixtureChannelCountTotal(FixturesVersion),1))</f>
        <v>0</v>
      </c>
      <c r="K4"/>
    </row>
    <row r="5" spans="1:12" x14ac:dyDescent="0.25">
      <c r="A5" s="3" cm="1">
        <f t="array" ref="A5">_xll.AuLiComSetTimer(DmxVersion,A4)</f>
        <v>500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C6" s="1" t="s">
        <v>44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1" t="s">
        <v>18</v>
      </c>
      <c r="C7" s="9" t="str" cm="1">
        <f t="array" ref="C7">IF(C4="","no command",_xll.AuLiComExecuteCommand(DmxVersion,C4))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0</v>
      </c>
      <c r="J7" s="2">
        <v>0</v>
      </c>
      <c r="K7" s="3" t="str" cm="1">
        <f t="array" ref="K7">IF(ChannelManualMode,_xll.AuLiComSetChannelValue(DmxVersion,H7,J7*ChannelMaster%),"")</f>
        <v>DMX:COM6</v>
      </c>
    </row>
    <row r="8" spans="1:12" x14ac:dyDescent="0.25">
      <c r="A8" s="2" t="s">
        <v>19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0</v>
      </c>
      <c r="J8" s="2">
        <v>0</v>
      </c>
      <c r="K8" s="3" t="str" cm="1">
        <f t="array" ref="K8">IF(ChannelManualMode,_xll.AuLiComSetChannelValue(DmxVersion,H8,J8*ChannelMaster%),"")</f>
        <v>DMX:COM6</v>
      </c>
    </row>
    <row r="9" spans="1:12" x14ac:dyDescent="0.25">
      <c r="A9" s="3" t="str" cm="1">
        <f t="array" ref="A9">_xll.AuLiComSetDmxConnection(SelectedPort)</f>
        <v>DMX:COM6</v>
      </c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0</v>
      </c>
      <c r="J9" s="2">
        <v>0</v>
      </c>
      <c r="K9" s="3" t="str" cm="1">
        <f t="array" ref="K9">IF(ChannelManualMode,_xll.AuLiComSetChannelValue(DmxVersion,H9,J9*ChannelMaster%),"")</f>
        <v>DMX:COM6</v>
      </c>
    </row>
    <row r="10" spans="1:12" x14ac:dyDescent="0.25">
      <c r="A10" s="3" t="str" cm="1">
        <f t="array" ref="A10">"FIXTURES:"&amp;_xll.AuLiComGetFixturesVersion(DmxVersion)</f>
        <v>FIXTURES:4</v>
      </c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0</v>
      </c>
      <c r="J10" s="2">
        <v>0</v>
      </c>
      <c r="K10" s="3" t="str" cm="1">
        <f t="array" ref="K10">IF(ChannelManualMode,_xll.AuLiComSetChannelValue(DmxVersion,H10,J10*ChannelMaster%),"")</f>
        <v>DMX:COM6</v>
      </c>
    </row>
    <row r="11" spans="1:12" x14ac:dyDescent="0.25">
      <c r="A11" s="3" t="str" cm="1">
        <f t="array" ref="A11">"SCENES:"&amp;_xll.AuLiComGetScenesVersion(DmxVersion)</f>
        <v>SCENES:4</v>
      </c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0</v>
      </c>
      <c r="J11" s="2">
        <v>0</v>
      </c>
      <c r="K11" s="3" t="str" cm="1">
        <f t="array" ref="K11">IF(ChannelManualMode,_xll.AuLiComSetChannelValue(DmxVersion,H11,J11*ChannelMaster%),"")</f>
        <v>DMX:COM6</v>
      </c>
    </row>
    <row r="12" spans="1:12" x14ac:dyDescent="0.25">
      <c r="A12" s="3" t="str" cm="1">
        <f t="array" ref="A12">"CHANNELS:"&amp;_xll.AuLiComGetChannelsVersion(DmxVersion)</f>
        <v>CHANNELS:248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t="str" cm="1">
        <f t="array" ref="K12">IF(ChannelManualMode,_xll.AuLiComSetChannelValue(DmxVersion,H12,J12*ChannelMaster%),"")</f>
        <v>DMX:COM6</v>
      </c>
    </row>
    <row r="13" spans="1:12" x14ac:dyDescent="0.25"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0</v>
      </c>
      <c r="J13" s="2">
        <v>0</v>
      </c>
      <c r="K13" s="3" t="str" cm="1">
        <f t="array" ref="K13">IF(ChannelManualMode,_xll.AuLiComSetChannelValue(DmxVersion,H13,J13*ChannelMaster%),"")</f>
        <v>DMX:COM6</v>
      </c>
    </row>
    <row r="14" spans="1:12" x14ac:dyDescent="0.25"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0</v>
      </c>
      <c r="J14" s="2">
        <v>0</v>
      </c>
      <c r="K14" s="3" t="str" cm="1">
        <f t="array" ref="K14">IF(ChannelManualMode,_xll.AuLiComSetChannelValue(DmxVersion,H14,J14*ChannelMaster%),"")</f>
        <v>DMX:COM6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t="str" cm="1">
        <f t="array" ref="K15">IF(ChannelManualMode,_xll.AuLiComSetChannelValue(DmxVersion,H15,J15*ChannelMaster%),"")</f>
        <v>DMX:COM6</v>
      </c>
    </row>
    <row r="16" spans="1:12" x14ac:dyDescent="0.25"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t="str" cm="1">
        <f t="array" ref="K16">IF(ChannelManualMode,_xll.AuLiComSetChannelValue(DmxVersion,H16,J16*ChannelMaster%),"")</f>
        <v>DMX:COM6</v>
      </c>
    </row>
    <row r="17" spans="1:11" x14ac:dyDescent="0.25">
      <c r="A17" s="3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t="str" cm="1">
        <f t="array" ref="K17">IF(ChannelManualMode,_xll.AuLiComSetChannelValue(DmxVersion,H17,J17*ChannelMaster%),"")</f>
        <v>DMX:COM6</v>
      </c>
    </row>
    <row r="18" spans="1:11" x14ac:dyDescent="0.25">
      <c r="A18" s="4"/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t="str" cm="1">
        <f t="array" ref="K18">IF(ChannelManualMode,_xll.AuLiComSetChannelValue(DmxVersion,H18,J18*ChannelMaster%),"")</f>
        <v>DMX:COM6</v>
      </c>
    </row>
    <row r="19" spans="1:11" x14ac:dyDescent="0.25">
      <c r="C19" s="9"/>
    </row>
    <row r="20" spans="1:11" x14ac:dyDescent="0.25">
      <c r="A20" s="3"/>
      <c r="C20" s="9"/>
    </row>
    <row r="21" spans="1:11" x14ac:dyDescent="0.25">
      <c r="A21" s="4"/>
      <c r="C21" s="9"/>
    </row>
    <row r="22" spans="1:11" x14ac:dyDescent="0.25">
      <c r="C22" s="9"/>
    </row>
    <row r="23" spans="1:11" x14ac:dyDescent="0.25">
      <c r="C23" s="9"/>
    </row>
    <row r="24" spans="1:11" x14ac:dyDescent="0.25">
      <c r="A24" s="4" t="s">
        <v>0</v>
      </c>
      <c r="C24" s="9"/>
    </row>
    <row r="25" spans="1:11" x14ac:dyDescent="0.25">
      <c r="A25" s="3" t="e" cm="1">
        <f t="array" ref="A25">_xll.AuLiComGetDmxPorts(TRUE)</f>
        <v>#VALUE!</v>
      </c>
      <c r="C25" s="9"/>
    </row>
    <row r="26" spans="1:11" x14ac:dyDescent="0.25">
      <c r="C26" s="9"/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12</xdr:row>
                    <xdr:rowOff>76200</xdr:rowOff>
                  </from>
                  <to>
                    <xdr:col>0</xdr:col>
                    <xdr:colOff>1038225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G27"/>
  <sheetViews>
    <sheetView workbookViewId="0">
      <selection activeCell="F16" sqref="F16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7" x14ac:dyDescent="0.25">
      <c r="A1" s="11" t="s">
        <v>24</v>
      </c>
      <c r="B1" s="11"/>
      <c r="C1" t="s">
        <v>20</v>
      </c>
      <c r="D1" t="s">
        <v>28</v>
      </c>
      <c r="E1" t="s">
        <v>27</v>
      </c>
      <c r="F1" t="s">
        <v>29</v>
      </c>
    </row>
    <row r="2" spans="1:7" x14ac:dyDescent="0.25">
      <c r="A2" s="11" t="s">
        <v>25</v>
      </c>
      <c r="B2" s="11"/>
      <c r="C2">
        <v>0.5</v>
      </c>
      <c r="D2">
        <v>0.25</v>
      </c>
      <c r="E2">
        <v>1</v>
      </c>
      <c r="F2">
        <v>2</v>
      </c>
    </row>
    <row r="3" spans="1:7" x14ac:dyDescent="0.25">
      <c r="A3" s="8"/>
      <c r="B3" s="8"/>
    </row>
    <row r="4" spans="1:7" x14ac:dyDescent="0.25">
      <c r="A4" s="8"/>
      <c r="B4" s="8"/>
    </row>
    <row r="5" spans="1:7" x14ac:dyDescent="0.25">
      <c r="A5" s="1" t="s">
        <v>12</v>
      </c>
      <c r="B5" s="1" t="s">
        <v>13</v>
      </c>
      <c r="C5" s="3" t="str" cm="1">
        <f t="array" ref="C5">_xll.AuLiComSetScene(DmxVersion,C1,$B$6:$B$14,C6:C14)</f>
        <v>Mixed</v>
      </c>
      <c r="D5" s="3" t="str" cm="1">
        <f t="array" ref="D5">_xll.AuLiComSetScene(DmxVersion,D1,$B$6:$B$14,D6:D14)</f>
        <v>Red Only</v>
      </c>
      <c r="E5" s="3" t="str" cm="1">
        <f t="array" ref="E5">_xll.AuLiComSetScene(DmxVersion,E1,$B$6:$B$14,E6:E14)</f>
        <v>Black</v>
      </c>
      <c r="F5" s="3" t="str" cm="1">
        <f t="array" ref="F5">_xll.AuLiComSetScene(DmxVersion,F1,$B$6:$B$14,F6:F14)</f>
        <v>All</v>
      </c>
      <c r="G5" s="3"/>
    </row>
    <row r="6" spans="1:7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7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7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7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7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7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7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7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7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7" x14ac:dyDescent="0.25">
      <c r="A15" s="12" t="s">
        <v>21</v>
      </c>
      <c r="B15" s="12"/>
      <c r="C15" s="2"/>
      <c r="D15" s="2"/>
      <c r="E15" s="2"/>
      <c r="F15" s="2" t="s">
        <v>47</v>
      </c>
      <c r="G15" s="2"/>
    </row>
    <row r="17" spans="1:2" x14ac:dyDescent="0.25">
      <c r="A17" s="1" t="s">
        <v>22</v>
      </c>
    </row>
    <row r="18" spans="1:2" x14ac:dyDescent="0.25">
      <c r="A18" t="s">
        <v>12</v>
      </c>
      <c r="B18" t="str" cm="1">
        <f t="array" ref="B18">INDEX(1:1,1,_xlfn.XMATCH("X",15:15))</f>
        <v>All</v>
      </c>
    </row>
    <row r="19" spans="1:2" x14ac:dyDescent="0.25">
      <c r="A19" t="s">
        <v>23</v>
      </c>
      <c r="B19" cm="1">
        <f t="array" ref="B19">INDEX(2:2,1,_xlfn.XMATCH("X",15:15))</f>
        <v>2</v>
      </c>
    </row>
    <row r="20" spans="1:2" x14ac:dyDescent="0.25">
      <c r="B20" s="3" t="str" cm="1">
        <f t="array" ref="B20">_xll.AuLiComSetSingleActiveScene(DmxVersion,B18,B19)</f>
        <v>DMX:COM6</v>
      </c>
    </row>
    <row r="23" spans="1:2" x14ac:dyDescent="0.25">
      <c r="A23" s="1" t="s">
        <v>26</v>
      </c>
    </row>
    <row r="24" spans="1:2" x14ac:dyDescent="0.25">
      <c r="A24" t="str" cm="1">
        <f t="array" ref="A24:A27">_xll.AuLiComGetScenes(ScenesVersion)</f>
        <v>Red Only</v>
      </c>
    </row>
    <row r="25" spans="1:2" x14ac:dyDescent="0.25">
      <c r="A25" t="str">
        <v>All</v>
      </c>
    </row>
    <row r="26" spans="1:2" x14ac:dyDescent="0.25">
      <c r="A26" t="str">
        <v>Mixed</v>
      </c>
    </row>
    <row r="27" spans="1:2" x14ac:dyDescent="0.25">
      <c r="A27" t="str">
        <v>Black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D5" sqref="D5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ref="A2:A4">_xll.AuLiComGetFixtureTypes(DmxVersion)</f>
        <v>GenericLamp</v>
      </c>
      <c r="C2" s="2" t="s">
        <v>31</v>
      </c>
      <c r="D2" s="2" t="s">
        <v>32</v>
      </c>
      <c r="E2">
        <v>1</v>
      </c>
      <c r="F2" cm="1">
        <f t="array" ref="F2">IF(G2&lt;&gt;"",_xll.AuLiComGetFixtureChannelCount(DmxVersion,C2),"")</f>
        <v>12</v>
      </c>
      <c r="G2" s="3" t="str" cm="1">
        <f t="array" ref="G2">IF(AND(C2&lt;&gt;"",D2&lt;&gt;"",E2&lt;&gt;""),_xll.AuLiComSetFixture(DmxVersion,C2,D2,E2),"")</f>
        <v>Already exists</v>
      </c>
    </row>
    <row r="3" spans="1:11" x14ac:dyDescent="0.25">
      <c r="A3" t="str">
        <v>CameoLedBar3Ch2</v>
      </c>
      <c r="C3" s="2" t="s">
        <v>36</v>
      </c>
      <c r="D3" s="2" t="s">
        <v>37</v>
      </c>
      <c r="E3">
        <f>IF(AND(C3&lt;&gt;"",D3&lt;&gt;""),E2+F2,"")</f>
        <v>13</v>
      </c>
      <c r="F3" cm="1">
        <f t="array" ref="F3">IF(G3&lt;&gt;"",_xll.AuLiComGetFixtureChannelCount(DmxVersion,C3),"")</f>
        <v>1</v>
      </c>
      <c r="G3" s="3" t="str" cm="1">
        <f t="array" ref="G3">IF(AND(C3&lt;&gt;"",D3&lt;&gt;"",E3&lt;&gt;""),_xll.AuLiComSetFixture(DmxVersion,C3,D3,E3),"")</f>
        <v>Already exists</v>
      </c>
    </row>
    <row r="4" spans="1:11" x14ac:dyDescent="0.25">
      <c r="A4" t="str">
        <v>CameoLedBar12Ch</v>
      </c>
      <c r="C4" s="2" t="s">
        <v>45</v>
      </c>
      <c r="D4" s="2" t="s">
        <v>37</v>
      </c>
      <c r="E4">
        <f t="shared" ref="E4:E7" si="0">IF(AND(C4&lt;&gt;"",D4&lt;&gt;""),E3+F3,"")</f>
        <v>14</v>
      </c>
      <c r="F4" cm="1">
        <f t="array" ref="F4">IF(G4&lt;&gt;"",_xll.AuLiComGetFixtureChannelCount(DmxVersion,C4),"")</f>
        <v>1</v>
      </c>
      <c r="G4" s="3" t="str" cm="1">
        <f t="array" ref="G4">IF(AND(C4&lt;&gt;"",D4&lt;&gt;"",E4&lt;&gt;""),_xll.AuLiComSetFixture(DmxVersion,C4,D4,E4),"")</f>
        <v>Already exists</v>
      </c>
    </row>
    <row r="5" spans="1:11" x14ac:dyDescent="0.25">
      <c r="C5" s="2" t="s">
        <v>46</v>
      </c>
      <c r="D5" s="2" t="s">
        <v>37</v>
      </c>
      <c r="E5">
        <f t="shared" si="0"/>
        <v>15</v>
      </c>
      <c r="F5" cm="1">
        <f t="array" ref="F5">IF(G5&lt;&gt;"",_xll.AuLiComGetFixtureChannelCount(DmxVersion,C5),"")</f>
        <v>1</v>
      </c>
      <c r="G5" s="3" t="str" cm="1">
        <f t="array" ref="G5">IF(AND(C5&lt;&gt;"",D5&lt;&gt;"",E5&lt;&gt;""),_xll.AuLiComSetFixture(DmxVersion,C5,D5,E5),"")</f>
        <v>Already exists</v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IF(G6&lt;&gt;"",_xll.AuLiComGetFixtureChannelCount(DmxVersion,C6),"")</f>
        <v/>
      </c>
      <c r="G6" s="3" t="str" cm="1">
        <f t="array" ref="G6">IF(AND(C6&lt;&gt;"",D6&lt;&gt;"",E6&lt;&gt;""),_xll.AuLiComSetFixture(DmxVersion,C6,D6,E6),"")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IF(G7&lt;&gt;"",_xll.AuLiComGetFixtureChannelCount(DmxVersion,C7),"")</f>
        <v/>
      </c>
      <c r="G7" s="3" t="str" cm="1">
        <f t="array" ref="G7">IF(AND(C7&lt;&gt;"",D7&lt;&gt;"",E7&lt;&gt;""),_xll.AuLiComSetFixture(DmxVersion,C7,D7,E7),"")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Overview</vt:lpstr>
      <vt:lpstr>Scenes</vt:lpstr>
      <vt:lpstr>Fixtures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2023-07-10T18:45:35Z</dcterms:modified>
</cp:coreProperties>
</file>